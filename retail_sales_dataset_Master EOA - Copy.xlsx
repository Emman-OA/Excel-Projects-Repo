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D100897F-B2A5-4754-B6A0-B97371149232}" xr6:coauthVersionLast="47" xr6:coauthVersionMax="47" xr10:uidLastSave="{00000000-0000-0000-0000-000000000000}"/>
  <bookViews>
    <workbookView xWindow="-28920" yWindow="-1530" windowWidth="29040" windowHeight="16440" firstSheet="3" activeTab="3" xr2:uid="{00000000-000D-0000-FFFF-FFFF00000000}"/>
  </bookViews>
  <sheets>
    <sheet name="Q1 Sales by Product Category" sheetId="4" r:id="rId1"/>
    <sheet name="Q2 Sales by Category and Gender" sheetId="5" r:id="rId2"/>
    <sheet name="Sheet1" sheetId="6" r:id="rId3"/>
    <sheet name="retail_sales_dataset" sheetId="1" r:id="rId4"/>
    <sheet name="Transactions" sheetId="2" r:id="rId5"/>
    <sheet name="Day 2 Task 2" sheetId="3" r:id="rId6"/>
  </sheets>
  <definedNames>
    <definedName name="_xlnm._FilterDatabase" localSheetId="3" hidden="1">retail_sales_dataset!$A$1:$Q$1001</definedName>
    <definedName name="_xlnm._FilterDatabase" localSheetId="5" hidden="1">'Day 2 Task 2'!$A$1:$F$11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85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P11" i="1"/>
  <c r="P10" i="1"/>
  <c r="F2" i="3"/>
  <c r="F5" i="3"/>
  <c r="F6" i="3"/>
  <c r="F7" i="3"/>
  <c r="F8" i="3"/>
  <c r="F3" i="3"/>
  <c r="F9" i="3"/>
  <c r="F10" i="3"/>
  <c r="F11" i="3"/>
  <c r="F4" i="3"/>
  <c r="E2" i="3"/>
  <c r="E5" i="3"/>
  <c r="E6" i="3"/>
  <c r="E7" i="3"/>
  <c r="E8" i="3"/>
  <c r="E3" i="3"/>
  <c r="E9" i="3"/>
  <c r="E10" i="3"/>
  <c r="E11" i="3"/>
  <c r="E4" i="3"/>
  <c r="A12" i="2"/>
  <c r="C3" i="2"/>
  <c r="C4" i="2"/>
  <c r="C5" i="2"/>
  <c r="C6" i="2"/>
  <c r="C7" i="2"/>
  <c r="C8" i="2"/>
  <c r="C9" i="2"/>
  <c r="C10" i="2"/>
  <c r="C2" i="2"/>
  <c r="C12" i="2" s="1"/>
  <c r="I523" i="1" a="1"/>
  <c r="I523" i="1"/>
  <c r="I5" i="1" a="1"/>
  <c r="I5" i="1"/>
  <c r="I8" i="1" a="1"/>
  <c r="I8" i="1"/>
  <c r="I12" i="1" a="1"/>
  <c r="I12" i="1"/>
  <c r="I11" i="1" a="1"/>
  <c r="I11" i="1"/>
  <c r="I14" i="1" a="1"/>
  <c r="I14" i="1"/>
  <c r="I611" i="1" a="1"/>
  <c r="I611" i="1"/>
  <c r="I33" i="1" a="1"/>
  <c r="I33" i="1"/>
  <c r="I17" i="1" a="1"/>
  <c r="I17" i="1"/>
  <c r="I684" i="1" a="1"/>
  <c r="I684" i="1"/>
  <c r="I368" i="1" a="1"/>
  <c r="I368" i="1"/>
  <c r="I21" i="1" a="1"/>
  <c r="I21" i="1"/>
  <c r="I433" i="1" a="1"/>
  <c r="I433" i="1"/>
  <c r="I151" i="1" a="1"/>
  <c r="I151" i="1"/>
  <c r="I15" i="1" a="1"/>
  <c r="I15" i="1"/>
  <c r="I23" i="1" a="1"/>
  <c r="I23" i="1"/>
  <c r="I922" i="1" a="1"/>
  <c r="I922" i="1"/>
  <c r="I18" i="1" a="1"/>
  <c r="I18" i="1"/>
  <c r="I908" i="1" a="1"/>
  <c r="I908" i="1"/>
  <c r="I20" i="1" a="1"/>
  <c r="I20" i="1"/>
  <c r="I185" i="1" a="1"/>
  <c r="I185" i="1"/>
  <c r="I38" i="1" a="1"/>
  <c r="I38" i="1"/>
  <c r="I226" i="1" a="1"/>
  <c r="I226" i="1"/>
  <c r="I40" i="1" a="1"/>
  <c r="I40" i="1"/>
  <c r="I43" i="1" a="1"/>
  <c r="I43" i="1"/>
  <c r="I4" i="1" a="1"/>
  <c r="I4" i="1"/>
  <c r="I465" i="1" a="1"/>
  <c r="I465" i="1"/>
  <c r="I24" i="1" a="1"/>
  <c r="I24" i="1"/>
  <c r="I592" i="1" a="1"/>
  <c r="I592" i="1"/>
  <c r="I22" i="1" a="1"/>
  <c r="I22" i="1"/>
  <c r="I709" i="1" a="1"/>
  <c r="I709" i="1"/>
  <c r="I714" i="1" a="1"/>
  <c r="I714" i="1"/>
  <c r="I45" i="1" a="1"/>
  <c r="I45" i="1"/>
  <c r="I500" i="1" a="1"/>
  <c r="I500" i="1"/>
  <c r="I25" i="1" a="1"/>
  <c r="I25" i="1"/>
  <c r="I832" i="1" a="1"/>
  <c r="I832" i="1"/>
  <c r="I16" i="1" a="1"/>
  <c r="I16" i="1"/>
  <c r="I744" i="1" a="1"/>
  <c r="I744" i="1"/>
  <c r="I35" i="1" a="1"/>
  <c r="I35" i="1"/>
  <c r="I47" i="1" a="1"/>
  <c r="I47" i="1"/>
  <c r="I239" i="1" a="1"/>
  <c r="I239" i="1"/>
  <c r="I42" i="1" a="1"/>
  <c r="I42" i="1"/>
  <c r="I59" i="1" a="1"/>
  <c r="I59" i="1"/>
  <c r="I44" i="1" a="1"/>
  <c r="I44" i="1"/>
  <c r="I62" i="1" a="1"/>
  <c r="I62" i="1"/>
  <c r="I345" i="1" a="1"/>
  <c r="I345" i="1"/>
  <c r="I449" i="1" a="1"/>
  <c r="I449" i="1"/>
  <c r="I743" i="1" a="1"/>
  <c r="I743" i="1"/>
  <c r="I446" i="1" a="1"/>
  <c r="I446" i="1"/>
  <c r="I788" i="1" a="1"/>
  <c r="I788" i="1"/>
  <c r="I50" i="1" a="1"/>
  <c r="I50" i="1"/>
  <c r="I63" i="1" a="1"/>
  <c r="I63" i="1"/>
  <c r="I520" i="1" a="1"/>
  <c r="I520" i="1"/>
  <c r="I57" i="1" a="1"/>
  <c r="I57" i="1"/>
  <c r="I593" i="1" a="1"/>
  <c r="I593" i="1"/>
  <c r="I913" i="1" a="1"/>
  <c r="I913" i="1"/>
  <c r="I135" i="1" a="1"/>
  <c r="I135" i="1"/>
  <c r="I73" i="1" a="1"/>
  <c r="I73" i="1"/>
  <c r="I324" i="1" a="1"/>
  <c r="I324" i="1"/>
  <c r="I619" i="1" a="1"/>
  <c r="I619" i="1"/>
  <c r="I721" i="1" a="1"/>
  <c r="I721" i="1"/>
  <c r="I60" i="1" a="1"/>
  <c r="I60" i="1"/>
  <c r="I65" i="1" a="1"/>
  <c r="I65" i="1"/>
  <c r="I75" i="1" a="1"/>
  <c r="I75" i="1"/>
  <c r="I71" i="1" a="1"/>
  <c r="I71" i="1"/>
  <c r="I914" i="1" a="1"/>
  <c r="I914" i="1"/>
  <c r="I77" i="1" a="1"/>
  <c r="I77" i="1"/>
  <c r="I78" i="1" a="1"/>
  <c r="I78" i="1"/>
  <c r="I190" i="1" a="1"/>
  <c r="I190" i="1"/>
  <c r="I87" i="1" a="1"/>
  <c r="I87" i="1"/>
  <c r="I323" i="1" a="1"/>
  <c r="I323" i="1"/>
  <c r="I330" i="1" a="1"/>
  <c r="I330" i="1"/>
  <c r="I106" i="1" a="1"/>
  <c r="I106" i="1"/>
  <c r="I108" i="1" a="1"/>
  <c r="I108" i="1"/>
  <c r="I79" i="1" a="1"/>
  <c r="I79" i="1"/>
  <c r="I81" i="1" a="1"/>
  <c r="I81" i="1"/>
  <c r="I321" i="1" a="1"/>
  <c r="I321" i="1"/>
  <c r="I86" i="1" a="1"/>
  <c r="I86" i="1"/>
  <c r="I143" i="1" a="1"/>
  <c r="I143" i="1"/>
  <c r="I89" i="1" a="1"/>
  <c r="I89" i="1"/>
  <c r="I667" i="1" a="1"/>
  <c r="I667" i="1"/>
  <c r="I96" i="1" a="1"/>
  <c r="I96" i="1"/>
  <c r="I115" i="1" a="1"/>
  <c r="I115" i="1"/>
  <c r="I238" i="1" a="1"/>
  <c r="I238" i="1"/>
  <c r="I336" i="1" a="1"/>
  <c r="I336" i="1"/>
  <c r="I64" i="1" a="1"/>
  <c r="I64" i="1"/>
  <c r="I97" i="1" a="1"/>
  <c r="I97" i="1"/>
  <c r="I334" i="1" a="1"/>
  <c r="I334" i="1"/>
  <c r="I102" i="1" a="1"/>
  <c r="I102" i="1"/>
  <c r="I104" i="1" a="1"/>
  <c r="I104" i="1"/>
  <c r="I117" i="1" a="1"/>
  <c r="I117" i="1"/>
  <c r="I741" i="1" a="1"/>
  <c r="I741" i="1"/>
  <c r="I794" i="1" a="1"/>
  <c r="I794" i="1"/>
  <c r="I107" i="1" a="1"/>
  <c r="I107" i="1"/>
  <c r="I233" i="1" a="1"/>
  <c r="I233" i="1"/>
  <c r="I118" i="1" a="1"/>
  <c r="I118" i="1"/>
  <c r="I994" i="1" a="1"/>
  <c r="I994" i="1"/>
  <c r="I130" i="1" a="1"/>
  <c r="I130" i="1"/>
  <c r="I132" i="1" a="1"/>
  <c r="I132" i="1"/>
  <c r="I597" i="1" a="1"/>
  <c r="I597" i="1"/>
  <c r="I937" i="1" a="1"/>
  <c r="I937" i="1"/>
  <c r="I111" i="1" a="1"/>
  <c r="I111" i="1"/>
  <c r="I435" i="1" a="1"/>
  <c r="I435" i="1"/>
  <c r="I776" i="1" a="1"/>
  <c r="I776" i="1"/>
  <c r="I978" i="1" a="1"/>
  <c r="I978" i="1"/>
  <c r="I113" i="1" a="1"/>
  <c r="I113" i="1"/>
  <c r="I55" i="1" a="1"/>
  <c r="I55" i="1"/>
  <c r="I69" i="1" a="1"/>
  <c r="I69" i="1"/>
  <c r="I193" i="1" a="1"/>
  <c r="I193" i="1"/>
  <c r="I332" i="1" a="1"/>
  <c r="I332" i="1"/>
  <c r="I116" i="1" a="1"/>
  <c r="I116" i="1"/>
  <c r="I134" i="1" a="1"/>
  <c r="I134" i="1"/>
  <c r="I733" i="1" a="1"/>
  <c r="I733" i="1"/>
  <c r="I973" i="1" a="1"/>
  <c r="I973" i="1"/>
  <c r="I120" i="1" a="1"/>
  <c r="I120" i="1"/>
  <c r="I194" i="1" a="1"/>
  <c r="I194" i="1"/>
  <c r="I136" i="1" a="1"/>
  <c r="I136" i="1"/>
  <c r="I125" i="1" a="1"/>
  <c r="I125" i="1"/>
  <c r="I946" i="1" a="1"/>
  <c r="I946" i="1"/>
  <c r="I126" i="1" a="1"/>
  <c r="I126" i="1"/>
  <c r="I822" i="1" a="1"/>
  <c r="I822" i="1"/>
  <c r="I142" i="1" a="1"/>
  <c r="I142" i="1"/>
  <c r="I127" i="1" a="1"/>
  <c r="I127" i="1"/>
  <c r="I128" i="1" a="1"/>
  <c r="I128" i="1"/>
  <c r="I148" i="1" a="1"/>
  <c r="I148" i="1"/>
  <c r="I417" i="1" a="1"/>
  <c r="I417" i="1"/>
  <c r="I585" i="1" a="1"/>
  <c r="I585" i="1"/>
  <c r="I131" i="1" a="1"/>
  <c r="I131" i="1"/>
  <c r="I149" i="1" a="1"/>
  <c r="I149" i="1"/>
  <c r="I139" i="1" a="1"/>
  <c r="I139" i="1"/>
  <c r="I150" i="1" a="1"/>
  <c r="I150" i="1"/>
  <c r="I269" i="1" a="1"/>
  <c r="I269" i="1"/>
  <c r="I144" i="1" a="1"/>
  <c r="I144" i="1"/>
  <c r="I967" i="1" a="1"/>
  <c r="I967" i="1"/>
  <c r="I146" i="1" a="1"/>
  <c r="I146" i="1"/>
  <c r="I170" i="1" a="1"/>
  <c r="I170" i="1"/>
  <c r="I147" i="1" a="1"/>
  <c r="I147" i="1"/>
  <c r="I9" i="1" a="1"/>
  <c r="I9" i="1"/>
  <c r="I182" i="1" a="1"/>
  <c r="I182" i="1"/>
  <c r="I455" i="1" a="1"/>
  <c r="I455" i="1"/>
  <c r="I781" i="1" a="1"/>
  <c r="I781" i="1"/>
  <c r="I921" i="1" a="1"/>
  <c r="I921" i="1"/>
  <c r="I397" i="1" a="1"/>
  <c r="I397" i="1"/>
  <c r="I186" i="1" a="1"/>
  <c r="I186" i="1"/>
  <c r="I152" i="1" a="1"/>
  <c r="I152" i="1"/>
  <c r="I612" i="1" a="1"/>
  <c r="I612" i="1"/>
  <c r="I157" i="1" a="1"/>
  <c r="I157" i="1"/>
  <c r="I273" i="1" a="1"/>
  <c r="I273" i="1"/>
  <c r="I474" i="1" a="1"/>
  <c r="I474" i="1"/>
  <c r="I507" i="1" a="1"/>
  <c r="I507" i="1"/>
  <c r="I767" i="1" a="1"/>
  <c r="I767" i="1"/>
  <c r="I160" i="1" a="1"/>
  <c r="I160" i="1"/>
  <c r="I161" i="1" a="1"/>
  <c r="I161" i="1"/>
  <c r="I159" i="1" a="1"/>
  <c r="I159" i="1"/>
  <c r="I163" i="1" a="1"/>
  <c r="I163" i="1"/>
  <c r="I434" i="1" a="1"/>
  <c r="I434" i="1"/>
  <c r="I153" i="1" a="1"/>
  <c r="I153" i="1"/>
  <c r="I164" i="1" a="1"/>
  <c r="I164" i="1"/>
  <c r="I166" i="1" a="1"/>
  <c r="I166" i="1"/>
  <c r="I933" i="1" a="1"/>
  <c r="I933" i="1"/>
  <c r="I400" i="1" a="1"/>
  <c r="I400" i="1"/>
  <c r="I501" i="1" a="1"/>
  <c r="I501" i="1"/>
  <c r="I187" i="1" a="1"/>
  <c r="I187" i="1"/>
  <c r="I948" i="1" a="1"/>
  <c r="I948" i="1"/>
  <c r="I221" i="1" a="1"/>
  <c r="I221" i="1"/>
  <c r="I213" i="1" a="1"/>
  <c r="I213" i="1"/>
  <c r="I786" i="1" a="1"/>
  <c r="I786" i="1"/>
  <c r="I167" i="1" a="1"/>
  <c r="I167" i="1"/>
  <c r="I889" i="1" a="1"/>
  <c r="I889" i="1"/>
  <c r="I622" i="1" a="1"/>
  <c r="I622" i="1"/>
  <c r="I53" i="1" a="1"/>
  <c r="I53" i="1"/>
  <c r="I537" i="1" a="1"/>
  <c r="I537" i="1"/>
  <c r="I168" i="1" a="1"/>
  <c r="I168" i="1"/>
  <c r="I169" i="1" a="1"/>
  <c r="I169" i="1"/>
  <c r="I215" i="1" a="1"/>
  <c r="I215" i="1"/>
  <c r="I918" i="1" a="1"/>
  <c r="I918" i="1"/>
  <c r="I199" i="1" a="1"/>
  <c r="I199" i="1"/>
  <c r="I171" i="1" a="1"/>
  <c r="I171" i="1"/>
  <c r="I172" i="1" a="1"/>
  <c r="I172" i="1"/>
  <c r="I706" i="1" a="1"/>
  <c r="I706" i="1"/>
  <c r="I179" i="1" a="1"/>
  <c r="I179" i="1"/>
  <c r="I181" i="1" a="1"/>
  <c r="I181" i="1"/>
  <c r="I232" i="1" a="1"/>
  <c r="I232" i="1"/>
  <c r="I236" i="1" a="1"/>
  <c r="I236" i="1"/>
  <c r="I398" i="1" a="1"/>
  <c r="I398" i="1"/>
  <c r="I188" i="1" a="1"/>
  <c r="I188" i="1"/>
  <c r="I189" i="1" a="1"/>
  <c r="I189" i="1"/>
  <c r="I195" i="1" a="1"/>
  <c r="I195" i="1"/>
  <c r="I196" i="1" a="1"/>
  <c r="I196" i="1"/>
  <c r="I197" i="1" a="1"/>
  <c r="I197" i="1"/>
  <c r="I198" i="1" a="1"/>
  <c r="I198" i="1"/>
  <c r="I203" i="1" a="1"/>
  <c r="I203" i="1"/>
  <c r="I241" i="1" a="1"/>
  <c r="I241" i="1"/>
  <c r="I204" i="1" a="1"/>
  <c r="I204" i="1"/>
  <c r="I206" i="1" a="1"/>
  <c r="I206" i="1"/>
  <c r="I207" i="1" a="1"/>
  <c r="I207" i="1"/>
  <c r="I242" i="1" a="1"/>
  <c r="I242" i="1"/>
  <c r="I216" i="1" a="1"/>
  <c r="I216" i="1"/>
  <c r="I660" i="1" a="1"/>
  <c r="I660" i="1"/>
  <c r="I223" i="1" a="1"/>
  <c r="I223" i="1"/>
  <c r="I137" i="1" a="1"/>
  <c r="I137" i="1"/>
  <c r="I176" i="1" a="1"/>
  <c r="I176" i="1"/>
  <c r="I224" i="1" a="1"/>
  <c r="I224" i="1"/>
  <c r="I225" i="1" a="1"/>
  <c r="I225" i="1"/>
  <c r="I807" i="1" a="1"/>
  <c r="I807" i="1"/>
  <c r="I39" i="1" a="1"/>
  <c r="I39" i="1"/>
  <c r="I314" i="1" a="1"/>
  <c r="I314" i="1"/>
  <c r="I227" i="1" a="1"/>
  <c r="I227" i="1"/>
  <c r="I243" i="1" a="1"/>
  <c r="I243" i="1"/>
  <c r="I162" i="1" a="1"/>
  <c r="I162" i="1"/>
  <c r="I329" i="1" a="1"/>
  <c r="I329" i="1"/>
  <c r="I384" i="1" a="1"/>
  <c r="I384" i="1"/>
  <c r="I237" i="1" a="1"/>
  <c r="I237" i="1"/>
  <c r="I250" i="1" a="1"/>
  <c r="I250" i="1"/>
  <c r="I34" i="1" a="1"/>
  <c r="I34" i="1"/>
  <c r="I246" i="1" a="1"/>
  <c r="I246" i="1"/>
  <c r="I249" i="1" a="1"/>
  <c r="I249" i="1"/>
  <c r="I257" i="1" a="1"/>
  <c r="I257" i="1"/>
  <c r="I178" i="1" a="1"/>
  <c r="I178" i="1"/>
  <c r="I258" i="1" a="1"/>
  <c r="I258" i="1"/>
  <c r="I262" i="1" a="1"/>
  <c r="I262" i="1"/>
  <c r="I92" i="1" a="1"/>
  <c r="I92" i="1"/>
  <c r="I264" i="1" a="1"/>
  <c r="I264" i="1"/>
  <c r="I267" i="1" a="1"/>
  <c r="I267" i="1"/>
  <c r="I254" i="1" a="1"/>
  <c r="I254" i="1"/>
  <c r="I256" i="1" a="1"/>
  <c r="I256" i="1"/>
  <c r="I704" i="1" a="1"/>
  <c r="I704" i="1"/>
  <c r="I274" i="1" a="1"/>
  <c r="I274" i="1"/>
  <c r="I761" i="1" a="1"/>
  <c r="I761" i="1"/>
  <c r="I259" i="1" a="1"/>
  <c r="I259" i="1"/>
  <c r="I260" i="1" a="1"/>
  <c r="I260" i="1"/>
  <c r="I275" i="1" a="1"/>
  <c r="I275" i="1"/>
  <c r="I265" i="1" a="1"/>
  <c r="I265" i="1"/>
  <c r="I463" i="1" a="1"/>
  <c r="I463" i="1"/>
  <c r="I615" i="1" a="1"/>
  <c r="I615" i="1"/>
  <c r="I809" i="1" a="1"/>
  <c r="I809" i="1"/>
  <c r="I266" i="1" a="1"/>
  <c r="I266" i="1"/>
  <c r="I466" i="1" a="1"/>
  <c r="I466" i="1"/>
  <c r="I503" i="1" a="1"/>
  <c r="I503" i="1"/>
  <c r="I906" i="1" a="1"/>
  <c r="I906" i="1"/>
  <c r="I270" i="1" a="1"/>
  <c r="I270" i="1"/>
  <c r="I277" i="1" a="1"/>
  <c r="I277" i="1"/>
  <c r="I835" i="1" a="1"/>
  <c r="I835" i="1"/>
  <c r="I892" i="1" a="1"/>
  <c r="I892" i="1"/>
  <c r="I276" i="1" a="1"/>
  <c r="I276" i="1"/>
  <c r="I333" i="1" a="1"/>
  <c r="I333" i="1"/>
  <c r="I278" i="1" a="1"/>
  <c r="I278" i="1"/>
  <c r="I279" i="1" a="1"/>
  <c r="I279" i="1"/>
  <c r="I280" i="1" a="1"/>
  <c r="I280" i="1"/>
  <c r="I281" i="1" a="1"/>
  <c r="I281" i="1"/>
  <c r="I284" i="1" a="1"/>
  <c r="I284" i="1"/>
  <c r="I293" i="1" a="1"/>
  <c r="I293" i="1"/>
  <c r="I285" i="1" a="1"/>
  <c r="I285" i="1"/>
  <c r="I487" i="1" a="1"/>
  <c r="I487" i="1"/>
  <c r="I288" i="1" a="1"/>
  <c r="I288" i="1"/>
  <c r="I887" i="1" a="1"/>
  <c r="I887" i="1"/>
  <c r="I295" i="1" a="1"/>
  <c r="I295" i="1"/>
  <c r="I289" i="1" a="1"/>
  <c r="I289" i="1"/>
  <c r="I902" i="1" a="1"/>
  <c r="I902" i="1"/>
  <c r="I292" i="1" a="1"/>
  <c r="I292" i="1"/>
  <c r="I297" i="1" a="1"/>
  <c r="I297" i="1"/>
  <c r="I175" i="1" a="1"/>
  <c r="I175" i="1"/>
  <c r="I590" i="1" a="1"/>
  <c r="I590" i="1"/>
  <c r="I301" i="1" a="1"/>
  <c r="I301" i="1"/>
  <c r="I1001" i="1" a="1"/>
  <c r="I1001" i="1"/>
  <c r="I211" i="1" a="1"/>
  <c r="I211" i="1"/>
  <c r="I302" i="1" a="1"/>
  <c r="I302" i="1"/>
  <c r="I746" i="1" a="1"/>
  <c r="I746" i="1"/>
  <c r="I355" i="1" a="1"/>
  <c r="I355" i="1"/>
  <c r="I409" i="1" a="1"/>
  <c r="I409" i="1"/>
  <c r="I313" i="1" a="1"/>
  <c r="I313" i="1"/>
  <c r="I968" i="1" a="1"/>
  <c r="I968" i="1"/>
  <c r="I80" i="1" a="1"/>
  <c r="I80" i="1"/>
  <c r="I304" i="1" a="1"/>
  <c r="I304" i="1"/>
  <c r="I451" i="1" a="1"/>
  <c r="I451" i="1"/>
  <c r="I563" i="1" a="1"/>
  <c r="I563" i="1"/>
  <c r="I109" i="1" a="1"/>
  <c r="I109" i="1"/>
  <c r="I112" i="1" a="1"/>
  <c r="I112" i="1"/>
  <c r="I208" i="1" a="1"/>
  <c r="I208" i="1"/>
  <c r="I315" i="1" a="1"/>
  <c r="I315" i="1"/>
  <c r="I316" i="1" a="1"/>
  <c r="I316" i="1"/>
  <c r="I317" i="1" a="1"/>
  <c r="I317" i="1"/>
  <c r="I247" i="1" a="1"/>
  <c r="I247" i="1"/>
  <c r="I299" i="1" a="1"/>
  <c r="I299" i="1"/>
  <c r="I375" i="1" a="1"/>
  <c r="I375" i="1"/>
  <c r="I319" i="1" a="1"/>
  <c r="I319" i="1"/>
  <c r="I320" i="1" a="1"/>
  <c r="I320" i="1"/>
  <c r="I306" i="1" a="1"/>
  <c r="I306" i="1"/>
  <c r="I894" i="1" a="1"/>
  <c r="I894" i="1"/>
  <c r="I338" i="1" a="1"/>
  <c r="I338" i="1"/>
  <c r="I341" i="1" a="1"/>
  <c r="I341" i="1"/>
  <c r="I342" i="1" a="1"/>
  <c r="I342" i="1"/>
  <c r="I29" i="1" a="1"/>
  <c r="I29" i="1"/>
  <c r="I99" i="1" a="1"/>
  <c r="I99" i="1"/>
  <c r="I318" i="1" a="1"/>
  <c r="I318" i="1"/>
  <c r="I231" i="1" a="1"/>
  <c r="I231" i="1"/>
  <c r="I343" i="1" a="1"/>
  <c r="I343" i="1"/>
  <c r="I347" i="1" a="1"/>
  <c r="I347" i="1"/>
  <c r="I694" i="1" a="1"/>
  <c r="I694" i="1"/>
  <c r="I352" i="1" a="1"/>
  <c r="I352" i="1"/>
  <c r="I864" i="1" a="1"/>
  <c r="I864" i="1"/>
  <c r="I7" i="1" a="1"/>
  <c r="I7" i="1"/>
  <c r="I360" i="1" a="1"/>
  <c r="I360" i="1"/>
  <c r="I361" i="1" a="1"/>
  <c r="I361" i="1"/>
  <c r="I363" i="1" a="1"/>
  <c r="I363" i="1"/>
  <c r="I589" i="1" a="1"/>
  <c r="I589" i="1"/>
  <c r="I954" i="1" a="1"/>
  <c r="I954" i="1"/>
  <c r="I67" i="1" a="1"/>
  <c r="I67" i="1"/>
  <c r="I366" i="1" a="1"/>
  <c r="I366" i="1"/>
  <c r="I904" i="1" a="1"/>
  <c r="I904" i="1"/>
  <c r="I103" i="1" a="1"/>
  <c r="I103" i="1"/>
  <c r="I229" i="1" a="1"/>
  <c r="I229" i="1"/>
  <c r="I367" i="1" a="1"/>
  <c r="I367" i="1"/>
  <c r="I661" i="1" a="1"/>
  <c r="I661" i="1"/>
  <c r="I369" i="1" a="1"/>
  <c r="I369" i="1"/>
  <c r="I376" i="1" a="1"/>
  <c r="I376" i="1"/>
  <c r="I19" i="1" a="1"/>
  <c r="I19" i="1"/>
  <c r="I70" i="1" a="1"/>
  <c r="I70" i="1"/>
  <c r="I378" i="1" a="1"/>
  <c r="I378" i="1"/>
  <c r="I380" i="1" a="1"/>
  <c r="I380" i="1"/>
  <c r="I382" i="1" a="1"/>
  <c r="I382" i="1"/>
  <c r="I653" i="1" a="1"/>
  <c r="I653" i="1"/>
  <c r="I383" i="1" a="1"/>
  <c r="I383" i="1"/>
  <c r="I294" i="1" a="1"/>
  <c r="I294" i="1"/>
  <c r="I461" i="1" a="1"/>
  <c r="I461" i="1"/>
  <c r="I385" i="1" a="1"/>
  <c r="I385" i="1"/>
  <c r="I358" i="1" a="1"/>
  <c r="I358" i="1"/>
  <c r="I327" i="1" a="1"/>
  <c r="I327" i="1"/>
  <c r="I750" i="1" a="1"/>
  <c r="I750" i="1"/>
  <c r="I975" i="1" a="1"/>
  <c r="I975" i="1"/>
  <c r="I191" i="1" a="1"/>
  <c r="I191" i="1"/>
  <c r="I393" i="1" a="1"/>
  <c r="I393" i="1"/>
  <c r="I340" i="1" a="1"/>
  <c r="I340" i="1"/>
  <c r="I253" i="1" a="1"/>
  <c r="I253" i="1"/>
  <c r="I344" i="1" a="1"/>
  <c r="I344" i="1"/>
  <c r="I780" i="1" a="1"/>
  <c r="I780" i="1"/>
  <c r="I395" i="1" a="1"/>
  <c r="I395" i="1"/>
  <c r="I365" i="1" a="1"/>
  <c r="I365" i="1"/>
  <c r="I6" i="1" a="1"/>
  <c r="I6" i="1"/>
  <c r="I91" i="1" a="1"/>
  <c r="I91" i="1"/>
  <c r="I381" i="1" a="1"/>
  <c r="I381" i="1"/>
  <c r="I594" i="1" a="1"/>
  <c r="I594" i="1"/>
  <c r="I821" i="1" a="1"/>
  <c r="I821" i="1"/>
  <c r="I121" i="1" a="1"/>
  <c r="I121" i="1"/>
  <c r="I222" i="1" a="1"/>
  <c r="I222" i="1"/>
  <c r="I399" i="1" a="1"/>
  <c r="I399" i="1"/>
  <c r="I641" i="1" a="1"/>
  <c r="I641" i="1"/>
  <c r="I745" i="1" a="1"/>
  <c r="I745" i="1"/>
  <c r="I370" i="1" a="1"/>
  <c r="I370" i="1"/>
  <c r="I371" i="1" a="1"/>
  <c r="I371" i="1"/>
  <c r="I401" i="1" a="1"/>
  <c r="I401" i="1"/>
  <c r="I372" i="1" a="1"/>
  <c r="I372" i="1"/>
  <c r="I621" i="1" a="1"/>
  <c r="I621" i="1"/>
  <c r="I947" i="1" a="1"/>
  <c r="I947" i="1"/>
  <c r="I402" i="1" a="1"/>
  <c r="I402" i="1"/>
  <c r="I415" i="1" a="1"/>
  <c r="I415" i="1"/>
  <c r="I884" i="1" a="1"/>
  <c r="I884" i="1"/>
  <c r="I403" i="1" a="1"/>
  <c r="I403" i="1"/>
  <c r="I404" i="1" a="1"/>
  <c r="I404" i="1"/>
  <c r="I406" i="1" a="1"/>
  <c r="I406" i="1"/>
  <c r="I411" i="1" a="1"/>
  <c r="I411" i="1"/>
  <c r="I640" i="1" a="1"/>
  <c r="I640" i="1"/>
  <c r="I839" i="1" a="1"/>
  <c r="I839" i="1"/>
  <c r="I354" i="1" a="1"/>
  <c r="I354" i="1"/>
  <c r="I502" i="1" a="1"/>
  <c r="I502" i="1"/>
  <c r="I416" i="1" a="1"/>
  <c r="I416" i="1"/>
  <c r="I124" i="1" a="1"/>
  <c r="I124" i="1"/>
  <c r="I165" i="1" a="1"/>
  <c r="I165" i="1"/>
  <c r="I426" i="1" a="1"/>
  <c r="I426" i="1"/>
  <c r="I49" i="1" a="1"/>
  <c r="I49" i="1"/>
  <c r="I119" i="1" a="1"/>
  <c r="I119" i="1"/>
  <c r="I420" i="1" a="1"/>
  <c r="I420" i="1"/>
  <c r="I373" i="1" a="1"/>
  <c r="I373" i="1"/>
  <c r="I359" i="1" a="1"/>
  <c r="I359" i="1"/>
  <c r="I377" i="1" a="1"/>
  <c r="I377" i="1"/>
  <c r="I390" i="1" a="1"/>
  <c r="I390" i="1"/>
  <c r="I412" i="1" a="1"/>
  <c r="I412" i="1"/>
  <c r="I505" i="1" a="1"/>
  <c r="I505" i="1"/>
  <c r="I971" i="1" a="1"/>
  <c r="I971" i="1"/>
  <c r="I422" i="1" a="1"/>
  <c r="I422" i="1"/>
  <c r="I82" i="1" a="1"/>
  <c r="I82" i="1"/>
  <c r="I156" i="1" a="1"/>
  <c r="I156" i="1"/>
  <c r="I423" i="1" a="1"/>
  <c r="I423" i="1"/>
  <c r="I424" i="1" a="1"/>
  <c r="I424" i="1"/>
  <c r="I819" i="1" a="1"/>
  <c r="I819" i="1"/>
  <c r="I95" i="1" a="1"/>
  <c r="I95" i="1"/>
  <c r="I812" i="1" a="1"/>
  <c r="I812" i="1"/>
  <c r="I392" i="1" a="1"/>
  <c r="I392" i="1"/>
  <c r="I437" i="1" a="1"/>
  <c r="I437" i="1"/>
  <c r="I439" i="1" a="1"/>
  <c r="I439" i="1"/>
  <c r="I695" i="1" a="1"/>
  <c r="I695" i="1"/>
  <c r="I440" i="1" a="1"/>
  <c r="I440" i="1"/>
  <c r="I441" i="1" a="1"/>
  <c r="I441" i="1"/>
  <c r="I912" i="1" a="1"/>
  <c r="I912" i="1"/>
  <c r="I443" i="1" a="1"/>
  <c r="I443" i="1"/>
  <c r="I444" i="1" a="1"/>
  <c r="I444" i="1"/>
  <c r="I394" i="1" a="1"/>
  <c r="I394" i="1"/>
  <c r="I445" i="1" a="1"/>
  <c r="I445" i="1"/>
  <c r="I32" i="1" a="1"/>
  <c r="I32" i="1"/>
  <c r="I407" i="1" a="1"/>
  <c r="I407" i="1"/>
  <c r="I410" i="1" a="1"/>
  <c r="I410" i="1"/>
  <c r="I244" i="1" a="1"/>
  <c r="I244" i="1"/>
  <c r="I282" i="1" a="1"/>
  <c r="I282" i="1"/>
  <c r="I490" i="1" a="1"/>
  <c r="I490" i="1"/>
  <c r="I492" i="1" a="1"/>
  <c r="I492" i="1"/>
  <c r="I453" i="1" a="1"/>
  <c r="I453" i="1"/>
  <c r="I823" i="1" a="1"/>
  <c r="I823" i="1"/>
  <c r="I454" i="1" a="1"/>
  <c r="I454" i="1"/>
  <c r="I405" i="1" a="1"/>
  <c r="I405" i="1"/>
  <c r="I460" i="1" a="1"/>
  <c r="I460" i="1"/>
  <c r="I991" i="1" a="1"/>
  <c r="I991" i="1"/>
  <c r="I471" i="1" a="1"/>
  <c r="I471" i="1"/>
  <c r="I472" i="1" a="1"/>
  <c r="I472" i="1"/>
  <c r="I924" i="1" a="1"/>
  <c r="I924" i="1"/>
  <c r="I308" i="1" a="1"/>
  <c r="I308" i="1"/>
  <c r="I475" i="1" a="1"/>
  <c r="I475" i="1"/>
  <c r="I476" i="1" a="1"/>
  <c r="I476" i="1"/>
  <c r="I477" i="1" a="1"/>
  <c r="I477" i="1"/>
  <c r="I68" i="1" a="1"/>
  <c r="I68" i="1"/>
  <c r="I916" i="1" a="1"/>
  <c r="I916" i="1"/>
  <c r="I413" i="1" a="1"/>
  <c r="I413" i="1"/>
  <c r="I478" i="1" a="1"/>
  <c r="I478" i="1"/>
  <c r="I479" i="1" a="1"/>
  <c r="I479" i="1"/>
  <c r="I863" i="1" a="1"/>
  <c r="I863" i="1"/>
  <c r="I483" i="1" a="1"/>
  <c r="I483" i="1"/>
  <c r="I484" i="1" a="1"/>
  <c r="I484" i="1"/>
  <c r="I903" i="1" a="1"/>
  <c r="I903" i="1"/>
  <c r="I421" i="1" a="1"/>
  <c r="I421" i="1"/>
  <c r="I686" i="1" a="1"/>
  <c r="I686" i="1"/>
  <c r="I959" i="1" a="1"/>
  <c r="I959" i="1"/>
  <c r="I364" i="1" a="1"/>
  <c r="I364" i="1"/>
  <c r="I488" i="1" a="1"/>
  <c r="I488" i="1"/>
  <c r="I427" i="1" a="1"/>
  <c r="I427" i="1"/>
  <c r="I388" i="1" a="1"/>
  <c r="I388" i="1"/>
  <c r="I447" i="1" a="1"/>
  <c r="I447" i="1"/>
  <c r="I491" i="1" a="1"/>
  <c r="I491" i="1"/>
  <c r="I448" i="1" a="1"/>
  <c r="I448" i="1"/>
  <c r="I561" i="1" a="1"/>
  <c r="I561" i="1"/>
  <c r="I498" i="1" a="1"/>
  <c r="I498" i="1"/>
  <c r="I482" i="1" a="1"/>
  <c r="I482" i="1"/>
  <c r="I462" i="1" a="1"/>
  <c r="I462" i="1"/>
  <c r="I883" i="1" a="1"/>
  <c r="I883" i="1"/>
  <c r="I962" i="1" a="1"/>
  <c r="I962" i="1"/>
  <c r="I499" i="1" a="1"/>
  <c r="I499" i="1"/>
  <c r="I470" i="1" a="1"/>
  <c r="I470" i="1"/>
  <c r="I540" i="1" a="1"/>
  <c r="I540" i="1"/>
  <c r="I588" i="1" a="1"/>
  <c r="I588" i="1"/>
  <c r="I516" i="1" a="1"/>
  <c r="I516" i="1"/>
  <c r="I518" i="1" a="1"/>
  <c r="I518" i="1"/>
  <c r="I770" i="1" a="1"/>
  <c r="I770" i="1"/>
  <c r="I322" i="1" a="1"/>
  <c r="I322" i="1"/>
  <c r="I357" i="1" a="1"/>
  <c r="I357" i="1"/>
  <c r="I511" i="1" a="1"/>
  <c r="I511" i="1"/>
  <c r="I519" i="1" a="1"/>
  <c r="I519" i="1"/>
  <c r="I105" i="1" a="1"/>
  <c r="I105" i="1"/>
  <c r="I522" i="1" a="1"/>
  <c r="I522" i="1"/>
  <c r="I353" i="1" a="1"/>
  <c r="I353" i="1"/>
  <c r="I527" i="1" a="1"/>
  <c r="I527" i="1"/>
  <c r="I528" i="1" a="1"/>
  <c r="I528" i="1"/>
  <c r="I630" i="1" a="1"/>
  <c r="I630" i="1"/>
  <c r="I529" i="1" a="1"/>
  <c r="I529" i="1"/>
  <c r="I530" i="1" a="1"/>
  <c r="I530" i="1"/>
  <c r="I183" i="1" a="1"/>
  <c r="I183" i="1"/>
  <c r="I820" i="1" a="1"/>
  <c r="I820" i="1"/>
  <c r="I101" i="1" a="1"/>
  <c r="I101" i="1"/>
  <c r="I834" i="1" a="1"/>
  <c r="I834" i="1"/>
  <c r="I485" i="1" a="1"/>
  <c r="I485" i="1"/>
  <c r="I724" i="1" a="1"/>
  <c r="I724" i="1"/>
  <c r="I533" i="1" a="1"/>
  <c r="I533" i="1"/>
  <c r="I489" i="1" a="1"/>
  <c r="I489" i="1"/>
  <c r="I240" i="1" a="1"/>
  <c r="I240" i="1"/>
  <c r="I535" i="1" a="1"/>
  <c r="I535" i="1"/>
  <c r="I486" i="1" a="1"/>
  <c r="I486" i="1"/>
  <c r="I496" i="1" a="1"/>
  <c r="I496" i="1"/>
  <c r="I546" i="1" a="1"/>
  <c r="I546" i="1"/>
  <c r="I548" i="1" a="1"/>
  <c r="I548" i="1"/>
  <c r="I467" i="1" a="1"/>
  <c r="I467" i="1"/>
  <c r="I497" i="1" a="1"/>
  <c r="I497" i="1"/>
  <c r="I549" i="1" a="1"/>
  <c r="I549" i="1"/>
  <c r="I41" i="1" a="1"/>
  <c r="I41" i="1"/>
  <c r="I551" i="1" a="1"/>
  <c r="I551" i="1"/>
  <c r="I728" i="1" a="1"/>
  <c r="I728" i="1"/>
  <c r="I506" i="1" a="1"/>
  <c r="I506" i="1"/>
  <c r="I559" i="1" a="1"/>
  <c r="I559" i="1"/>
  <c r="I272" i="1" a="1"/>
  <c r="I272" i="1"/>
  <c r="I37" i="1" a="1"/>
  <c r="I37" i="1"/>
  <c r="I158" i="1" a="1"/>
  <c r="I158" i="1"/>
  <c r="I797" i="1" a="1"/>
  <c r="I797" i="1"/>
  <c r="I514" i="1" a="1"/>
  <c r="I514" i="1"/>
  <c r="I928" i="1" a="1"/>
  <c r="I928" i="1"/>
  <c r="I408" i="1" a="1"/>
  <c r="I408" i="1"/>
  <c r="I515" i="1" a="1"/>
  <c r="I515" i="1"/>
  <c r="I510" i="1" a="1"/>
  <c r="I510" i="1"/>
  <c r="I875" i="1" a="1"/>
  <c r="I875" i="1"/>
  <c r="I789" i="1" a="1"/>
  <c r="I789" i="1"/>
  <c r="I379" i="1" a="1"/>
  <c r="I379" i="1"/>
  <c r="I481" i="1" a="1"/>
  <c r="I481" i="1"/>
  <c r="I493" i="1" a="1"/>
  <c r="I493" i="1"/>
  <c r="I560" i="1" a="1"/>
  <c r="I560" i="1"/>
  <c r="I562" i="1" a="1"/>
  <c r="I562" i="1"/>
  <c r="I531" i="1" a="1"/>
  <c r="I531" i="1"/>
  <c r="I567" i="1" a="1"/>
  <c r="I567" i="1"/>
  <c r="I261" i="1" a="1"/>
  <c r="I261" i="1"/>
  <c r="I456" i="1" a="1"/>
  <c r="I456" i="1"/>
  <c r="I534" i="1" a="1"/>
  <c r="I534" i="1"/>
  <c r="I46" i="1" a="1"/>
  <c r="I46" i="1"/>
  <c r="I450" i="1" a="1"/>
  <c r="I450" i="1"/>
  <c r="I568" i="1" a="1"/>
  <c r="I568" i="1"/>
  <c r="I571" i="1" a="1"/>
  <c r="I571" i="1"/>
  <c r="I129" i="1" a="1"/>
  <c r="I129" i="1"/>
  <c r="I573" i="1" a="1"/>
  <c r="I573" i="1"/>
  <c r="I803" i="1" a="1"/>
  <c r="I803" i="1"/>
  <c r="I76" i="1" a="1"/>
  <c r="I76" i="1"/>
  <c r="I538" i="1" a="1"/>
  <c r="I538" i="1"/>
  <c r="I576" i="1" a="1"/>
  <c r="I576" i="1"/>
  <c r="I760" i="1" a="1"/>
  <c r="I760" i="1"/>
  <c r="I871" i="1" a="1"/>
  <c r="I871" i="1"/>
  <c r="I579" i="1" a="1"/>
  <c r="I579" i="1"/>
  <c r="I581" i="1" a="1"/>
  <c r="I581" i="1"/>
  <c r="I583" i="1" a="1"/>
  <c r="I583" i="1"/>
  <c r="I539" i="1" a="1"/>
  <c r="I539" i="1"/>
  <c r="I177" i="1" a="1"/>
  <c r="I177" i="1"/>
  <c r="I217" i="1" a="1"/>
  <c r="I217" i="1"/>
  <c r="I773" i="1" a="1"/>
  <c r="I773" i="1"/>
  <c r="I54" i="1" a="1"/>
  <c r="I54" i="1"/>
  <c r="I543" i="1" a="1"/>
  <c r="I543" i="1"/>
  <c r="I72" i="1" a="1"/>
  <c r="I72" i="1"/>
  <c r="I94" i="1" a="1"/>
  <c r="I94" i="1"/>
  <c r="I303" i="1" a="1"/>
  <c r="I303" i="1"/>
  <c r="I552" i="1" a="1"/>
  <c r="I552" i="1"/>
  <c r="I682" i="1" a="1"/>
  <c r="I682" i="1"/>
  <c r="I554" i="1" a="1"/>
  <c r="I554" i="1"/>
  <c r="I729" i="1" a="1"/>
  <c r="I729" i="1"/>
  <c r="I830" i="1" a="1"/>
  <c r="I830" i="1"/>
  <c r="I591" i="1" a="1"/>
  <c r="I591" i="1"/>
  <c r="I145" i="1" a="1"/>
  <c r="I145" i="1"/>
  <c r="I557" i="1" a="1"/>
  <c r="I557" i="1"/>
  <c r="I558" i="1" a="1"/>
  <c r="I558" i="1"/>
  <c r="I604" i="1" a="1"/>
  <c r="I604" i="1"/>
  <c r="I608" i="1" a="1"/>
  <c r="I608" i="1"/>
  <c r="I610" i="1" a="1"/>
  <c r="I610" i="1"/>
  <c r="I305" i="1" a="1"/>
  <c r="I305" i="1"/>
  <c r="I677" i="1" a="1"/>
  <c r="I677" i="1"/>
  <c r="I687" i="1" a="1"/>
  <c r="I687" i="1"/>
  <c r="I699" i="1" a="1"/>
  <c r="I699" i="1"/>
  <c r="I564" i="1" a="1"/>
  <c r="I564" i="1"/>
  <c r="I578" i="1" a="1"/>
  <c r="I578" i="1"/>
  <c r="I614" i="1" a="1"/>
  <c r="I614" i="1"/>
  <c r="I774" i="1" a="1"/>
  <c r="I774" i="1"/>
  <c r="I616" i="1" a="1"/>
  <c r="I616" i="1"/>
  <c r="I214" i="1" a="1"/>
  <c r="I214" i="1"/>
  <c r="I617" i="1" a="1"/>
  <c r="I617" i="1"/>
  <c r="I584" i="1" a="1"/>
  <c r="I584" i="1"/>
  <c r="I606" i="1" a="1"/>
  <c r="I606" i="1"/>
  <c r="I586" i="1" a="1"/>
  <c r="I586" i="1"/>
  <c r="I300" i="1" a="1"/>
  <c r="I300" i="1"/>
  <c r="I935" i="1" a="1"/>
  <c r="I935" i="1"/>
  <c r="I271" i="1" a="1"/>
  <c r="I271" i="1"/>
  <c r="I339" i="1" a="1"/>
  <c r="I339" i="1"/>
  <c r="I544" i="1" a="1"/>
  <c r="I544" i="1"/>
  <c r="I595" i="1" a="1"/>
  <c r="I595" i="1"/>
  <c r="I624" i="1" a="1"/>
  <c r="I624" i="1"/>
  <c r="I865" i="1" a="1"/>
  <c r="I865" i="1"/>
  <c r="I255" i="1" a="1"/>
  <c r="I255" i="1"/>
  <c r="I296" i="1" a="1"/>
  <c r="I296" i="1"/>
  <c r="I458" i="1" a="1"/>
  <c r="I458" i="1"/>
  <c r="I669" i="1" a="1"/>
  <c r="I669" i="1"/>
  <c r="I851" i="1" a="1"/>
  <c r="I851" i="1"/>
  <c r="I542" i="1" a="1"/>
  <c r="I542" i="1"/>
  <c r="I981" i="1" a="1"/>
  <c r="I981" i="1"/>
  <c r="I263" i="1" a="1"/>
  <c r="I263" i="1"/>
  <c r="I468" i="1" a="1"/>
  <c r="I468" i="1"/>
  <c r="I464" i="1" a="1"/>
  <c r="I464" i="1"/>
  <c r="I599" i="1" a="1"/>
  <c r="I599" i="1"/>
  <c r="I668" i="1" a="1"/>
  <c r="I668" i="1"/>
  <c r="I673" i="1" a="1"/>
  <c r="I673" i="1"/>
  <c r="I950" i="1" a="1"/>
  <c r="I950" i="1"/>
  <c r="I28" i="1" a="1"/>
  <c r="I28" i="1"/>
  <c r="I348" i="1" a="1"/>
  <c r="I348" i="1"/>
  <c r="I688" i="1" a="1"/>
  <c r="I688" i="1"/>
  <c r="I550" i="1" a="1"/>
  <c r="I550" i="1"/>
  <c r="I626" i="1" a="1"/>
  <c r="I626" i="1"/>
  <c r="I627" i="1" a="1"/>
  <c r="I627" i="1"/>
  <c r="I628" i="1" a="1"/>
  <c r="I628" i="1"/>
  <c r="I596" i="1" a="1"/>
  <c r="I596" i="1"/>
  <c r="I36" i="1" a="1"/>
  <c r="I36" i="1"/>
  <c r="I141" i="1" a="1"/>
  <c r="I141" i="1"/>
  <c r="I631" i="1" a="1"/>
  <c r="I631" i="1"/>
  <c r="I638" i="1" a="1"/>
  <c r="I638" i="1"/>
  <c r="I643" i="1" a="1"/>
  <c r="I643" i="1"/>
  <c r="I309" i="1" a="1"/>
  <c r="I309" i="1"/>
  <c r="I419" i="1" a="1"/>
  <c r="I419" i="1"/>
  <c r="I613" i="1" a="1"/>
  <c r="I613" i="1"/>
  <c r="I876" i="1" a="1"/>
  <c r="I876" i="1"/>
  <c r="I431" i="1" a="1"/>
  <c r="I431" i="1"/>
  <c r="I634" i="1" a="1"/>
  <c r="I634" i="1"/>
  <c r="I647" i="1" a="1"/>
  <c r="I647" i="1"/>
  <c r="I648" i="1" a="1"/>
  <c r="I648" i="1"/>
  <c r="I650" i="1" a="1"/>
  <c r="I650" i="1"/>
  <c r="I652" i="1" a="1"/>
  <c r="I652" i="1"/>
  <c r="I654" i="1" a="1"/>
  <c r="I654" i="1"/>
  <c r="I655" i="1" a="1"/>
  <c r="I655" i="1"/>
  <c r="I656" i="1" a="1"/>
  <c r="I656" i="1"/>
  <c r="I658" i="1" a="1"/>
  <c r="I658" i="1"/>
  <c r="I659" i="1" a="1"/>
  <c r="I659" i="1"/>
  <c r="I662" i="1" a="1"/>
  <c r="I662" i="1"/>
  <c r="I509" i="1" a="1"/>
  <c r="I509" i="1"/>
  <c r="I808" i="1" a="1"/>
  <c r="I808" i="1"/>
  <c r="I512" i="1" a="1"/>
  <c r="I512" i="1"/>
  <c r="I598" i="1" a="1"/>
  <c r="I598" i="1"/>
  <c r="I602" i="1" a="1"/>
  <c r="I602" i="1"/>
  <c r="I817" i="1" a="1"/>
  <c r="I817" i="1"/>
  <c r="I218" i="1" a="1"/>
  <c r="I218" i="1"/>
  <c r="I665" i="1" a="1"/>
  <c r="I665" i="1"/>
  <c r="I649" i="1" a="1"/>
  <c r="I649" i="1"/>
  <c r="I603" i="1" a="1"/>
  <c r="I603" i="1"/>
  <c r="I286" i="1" a="1"/>
  <c r="I286" i="1"/>
  <c r="I428" i="1" a="1"/>
  <c r="I428" i="1"/>
  <c r="I570" i="1" a="1"/>
  <c r="I570" i="1"/>
  <c r="I666" i="1" a="1"/>
  <c r="I666" i="1"/>
  <c r="I674" i="1" a="1"/>
  <c r="I674" i="1"/>
  <c r="I958" i="1" a="1"/>
  <c r="I958" i="1"/>
  <c r="I636" i="1" a="1"/>
  <c r="I636" i="1"/>
  <c r="I30" i="1" a="1"/>
  <c r="I30" i="1"/>
  <c r="I675" i="1" a="1"/>
  <c r="I675" i="1"/>
  <c r="I860" i="1" a="1"/>
  <c r="I860" i="1"/>
  <c r="I639" i="1" a="1"/>
  <c r="I639" i="1"/>
  <c r="I824" i="1" a="1"/>
  <c r="I824" i="1"/>
  <c r="I676" i="1" a="1"/>
  <c r="I676" i="1"/>
  <c r="I982" i="1" a="1"/>
  <c r="I982" i="1"/>
  <c r="I220" i="1" a="1"/>
  <c r="I220" i="1"/>
  <c r="I74" i="1" a="1"/>
  <c r="I74" i="1"/>
  <c r="I681" i="1" a="1"/>
  <c r="I681" i="1"/>
  <c r="I307" i="1" a="1"/>
  <c r="I307" i="1"/>
  <c r="I726" i="1" a="1"/>
  <c r="I726" i="1"/>
  <c r="I607" i="1" a="1"/>
  <c r="I607" i="1"/>
  <c r="I993" i="1" a="1"/>
  <c r="I993" i="1"/>
  <c r="I629" i="1" a="1"/>
  <c r="I629" i="1"/>
  <c r="I623" i="1" a="1"/>
  <c r="I623" i="1"/>
  <c r="I685" i="1" a="1"/>
  <c r="I685" i="1"/>
  <c r="I637" i="1" a="1"/>
  <c r="I637" i="1"/>
  <c r="I689" i="1" a="1"/>
  <c r="I689" i="1"/>
  <c r="I51" i="1" a="1"/>
  <c r="I51" i="1"/>
  <c r="I480" i="1" a="1"/>
  <c r="I480" i="1"/>
  <c r="I805" i="1" a="1"/>
  <c r="I805" i="1"/>
  <c r="I93" i="1" a="1"/>
  <c r="I93" i="1"/>
  <c r="I283" i="1" a="1"/>
  <c r="I283" i="1"/>
  <c r="I719" i="1" a="1"/>
  <c r="I719" i="1"/>
  <c r="I618" i="1" a="1"/>
  <c r="I618" i="1"/>
  <c r="I625" i="1" a="1"/>
  <c r="I625" i="1"/>
  <c r="I826" i="1" a="1"/>
  <c r="I826" i="1"/>
  <c r="I569" i="1" a="1"/>
  <c r="I569" i="1"/>
  <c r="I672" i="1" a="1"/>
  <c r="I672" i="1"/>
  <c r="I757" i="1" a="1"/>
  <c r="I757" i="1"/>
  <c r="I691" i="1" a="1"/>
  <c r="I691" i="1"/>
  <c r="I692" i="1" a="1"/>
  <c r="I692" i="1"/>
  <c r="I645" i="1" a="1"/>
  <c r="I645" i="1"/>
  <c r="I693" i="1" a="1"/>
  <c r="I693" i="1"/>
  <c r="I697" i="1" a="1"/>
  <c r="I697" i="1"/>
  <c r="I734" i="1" a="1"/>
  <c r="I734" i="1"/>
  <c r="I925" i="1" a="1"/>
  <c r="I925" i="1"/>
  <c r="I698" i="1" a="1"/>
  <c r="I698" i="1"/>
  <c r="I252" i="1" a="1"/>
  <c r="I252" i="1"/>
  <c r="I700" i="1" a="1"/>
  <c r="I700" i="1"/>
  <c r="I575" i="1" a="1"/>
  <c r="I575" i="1"/>
  <c r="I703" i="1" a="1"/>
  <c r="I703" i="1"/>
  <c r="I872" i="1" a="1"/>
  <c r="I872" i="1"/>
  <c r="I201" i="1" a="1"/>
  <c r="I201" i="1"/>
  <c r="I664" i="1" a="1"/>
  <c r="I664" i="1"/>
  <c r="I705" i="1" a="1"/>
  <c r="I705" i="1"/>
  <c r="I856" i="1" a="1"/>
  <c r="I856" i="1"/>
  <c r="I326" i="1" a="1"/>
  <c r="I326" i="1"/>
  <c r="I683" i="1" a="1"/>
  <c r="I683" i="1"/>
  <c r="I932" i="1" a="1"/>
  <c r="I932" i="1"/>
  <c r="I926" i="1" a="1"/>
  <c r="I926" i="1"/>
  <c r="I298" i="1" a="1"/>
  <c r="I298" i="1"/>
  <c r="I708" i="1" a="1"/>
  <c r="I708" i="1"/>
  <c r="I895" i="1" a="1"/>
  <c r="I895" i="1"/>
  <c r="I670" i="1" a="1"/>
  <c r="I670" i="1"/>
  <c r="I717" i="1" a="1"/>
  <c r="I717" i="1"/>
  <c r="I718" i="1" a="1"/>
  <c r="I718" i="1"/>
  <c r="I678" i="1" a="1"/>
  <c r="I678" i="1"/>
  <c r="I720" i="1" a="1"/>
  <c r="I720" i="1"/>
  <c r="I722" i="1" a="1"/>
  <c r="I722" i="1"/>
  <c r="I725" i="1" a="1"/>
  <c r="I725" i="1"/>
  <c r="I727" i="1" a="1"/>
  <c r="I727" i="1"/>
  <c r="I184" i="1" a="1"/>
  <c r="I184" i="1"/>
  <c r="I414" i="1" a="1"/>
  <c r="I414" i="1"/>
  <c r="I800" i="1" a="1"/>
  <c r="I800" i="1"/>
  <c r="I852" i="1" a="1"/>
  <c r="I852" i="1"/>
  <c r="I680" i="1" a="1"/>
  <c r="I680" i="1"/>
  <c r="I696" i="1" a="1"/>
  <c r="I696" i="1"/>
  <c r="I936" i="1" a="1"/>
  <c r="I936" i="1"/>
  <c r="I133" i="1" a="1"/>
  <c r="I133" i="1"/>
  <c r="I605" i="1" a="1"/>
  <c r="I605" i="1"/>
  <c r="I833" i="1" a="1"/>
  <c r="I833" i="1"/>
  <c r="I114" i="1" a="1"/>
  <c r="I114" i="1"/>
  <c r="I730" i="1" a="1"/>
  <c r="I730" i="1"/>
  <c r="I731" i="1" a="1"/>
  <c r="I731" i="1"/>
  <c r="I732" i="1" a="1"/>
  <c r="I732" i="1"/>
  <c r="I710" i="1" a="1"/>
  <c r="I710" i="1"/>
  <c r="I633" i="1" a="1"/>
  <c r="I633" i="1"/>
  <c r="I735" i="1" a="1"/>
  <c r="I735" i="1"/>
  <c r="I173" i="1" a="1"/>
  <c r="I173" i="1"/>
  <c r="I736" i="1" a="1"/>
  <c r="I736" i="1"/>
  <c r="I737" i="1" a="1"/>
  <c r="I737" i="1"/>
  <c r="I795" i="1" a="1"/>
  <c r="I795" i="1"/>
  <c r="I715" i="1" a="1"/>
  <c r="I715" i="1"/>
  <c r="I331" i="1" a="1"/>
  <c r="I331" i="1"/>
  <c r="I495" i="1" a="1"/>
  <c r="I495" i="1"/>
  <c r="I723" i="1" a="1"/>
  <c r="I723" i="1"/>
  <c r="I574" i="1" a="1"/>
  <c r="I574" i="1"/>
  <c r="I748" i="1" a="1"/>
  <c r="I748" i="1"/>
  <c r="I580" i="1" a="1"/>
  <c r="I580" i="1"/>
  <c r="I219" i="1" a="1"/>
  <c r="I219" i="1"/>
  <c r="I847" i="1" a="1"/>
  <c r="I847" i="1"/>
  <c r="I738" i="1" a="1"/>
  <c r="I738" i="1"/>
  <c r="I524" i="1" a="1"/>
  <c r="I524" i="1"/>
  <c r="I644" i="1" a="1"/>
  <c r="I644" i="1"/>
  <c r="I739" i="1" a="1"/>
  <c r="I739" i="1"/>
  <c r="I810" i="1" a="1"/>
  <c r="I810" i="1"/>
  <c r="I955" i="1" a="1"/>
  <c r="I955" i="1"/>
  <c r="I898" i="1" a="1"/>
  <c r="I898" i="1"/>
  <c r="I763" i="1" a="1"/>
  <c r="I763" i="1"/>
  <c r="I205" i="1" a="1"/>
  <c r="I205" i="1"/>
  <c r="I391" i="1" a="1"/>
  <c r="I391" i="1"/>
  <c r="I180" i="1" a="1"/>
  <c r="I180" i="1"/>
  <c r="I328" i="1" a="1"/>
  <c r="I328" i="1"/>
  <c r="I742" i="1" a="1"/>
  <c r="I742" i="1"/>
  <c r="I874" i="1" a="1"/>
  <c r="I874" i="1"/>
  <c r="I747" i="1" a="1"/>
  <c r="I747" i="1"/>
  <c r="I749" i="1" a="1"/>
  <c r="I749" i="1"/>
  <c r="I90" i="1" a="1"/>
  <c r="I90" i="1"/>
  <c r="I751" i="1" a="1"/>
  <c r="I751" i="1"/>
  <c r="I910" i="1" a="1"/>
  <c r="I910" i="1"/>
  <c r="I52" i="1" a="1"/>
  <c r="I52" i="1"/>
  <c r="I155" i="1" a="1"/>
  <c r="I155" i="1"/>
  <c r="I769" i="1" a="1"/>
  <c r="I769" i="1"/>
  <c r="I752" i="1" a="1"/>
  <c r="I752" i="1"/>
  <c r="I890" i="1" a="1"/>
  <c r="I890" i="1"/>
  <c r="I123" i="1" a="1"/>
  <c r="I123" i="1"/>
  <c r="I374" i="1" a="1"/>
  <c r="I374" i="1"/>
  <c r="I525" i="1" a="1"/>
  <c r="I525" i="1"/>
  <c r="I753" i="1" a="1"/>
  <c r="I753" i="1"/>
  <c r="I814" i="1" a="1"/>
  <c r="I814" i="1"/>
  <c r="I754" i="1" a="1"/>
  <c r="I754" i="1"/>
  <c r="I209" i="1" a="1"/>
  <c r="I209" i="1"/>
  <c r="I248" i="1" a="1"/>
  <c r="I248" i="1"/>
  <c r="I291" i="1" a="1"/>
  <c r="I291" i="1"/>
  <c r="I657" i="1" a="1"/>
  <c r="I657" i="1"/>
  <c r="I756" i="1" a="1"/>
  <c r="I756" i="1"/>
  <c r="I759" i="1" a="1"/>
  <c r="I759" i="1"/>
  <c r="I671" i="1" a="1"/>
  <c r="I671" i="1"/>
  <c r="I386" i="1" a="1"/>
  <c r="I386" i="1"/>
  <c r="I762" i="1" a="1"/>
  <c r="I762" i="1"/>
  <c r="I27" i="1" a="1"/>
  <c r="I27" i="1"/>
  <c r="I438" i="1" a="1"/>
  <c r="I438" i="1"/>
  <c r="I690" i="1" a="1"/>
  <c r="I690" i="1"/>
  <c r="I764" i="1" a="1"/>
  <c r="I764" i="1"/>
  <c r="I635" i="1" a="1"/>
  <c r="I635" i="1"/>
  <c r="I202" i="1" a="1"/>
  <c r="I202" i="1"/>
  <c r="I287" i="1" a="1"/>
  <c r="I287" i="1"/>
  <c r="I765" i="1" a="1"/>
  <c r="I765" i="1"/>
  <c r="I56" i="1" a="1"/>
  <c r="I56" i="1"/>
  <c r="I429" i="1" a="1"/>
  <c r="I429" i="1"/>
  <c r="I442" i="1" a="1"/>
  <c r="I442" i="1"/>
  <c r="I977" i="1" a="1"/>
  <c r="I977" i="1"/>
  <c r="I766" i="1" a="1"/>
  <c r="I766" i="1"/>
  <c r="I228" i="1" a="1"/>
  <c r="I228" i="1"/>
  <c r="I772" i="1" a="1"/>
  <c r="I772" i="1"/>
  <c r="I771" i="1" a="1"/>
  <c r="I771" i="1"/>
  <c r="I547" i="1" a="1"/>
  <c r="I547" i="1"/>
  <c r="I873" i="1" a="1"/>
  <c r="I873" i="1"/>
  <c r="I915" i="1" a="1"/>
  <c r="I915" i="1"/>
  <c r="I311" i="1" a="1"/>
  <c r="I311" i="1"/>
  <c r="I775" i="1" a="1"/>
  <c r="I775" i="1"/>
  <c r="I777" i="1" a="1"/>
  <c r="I777" i="1"/>
  <c r="I98" i="1" a="1"/>
  <c r="I98" i="1"/>
  <c r="I620" i="1" a="1"/>
  <c r="I620" i="1"/>
  <c r="I793" i="1" a="1"/>
  <c r="I793" i="1"/>
  <c r="I457" i="1" a="1"/>
  <c r="I457" i="1"/>
  <c r="I783" i="1" a="1"/>
  <c r="I783" i="1"/>
  <c r="I784" i="1" a="1"/>
  <c r="I784" i="1"/>
  <c r="I122" i="1" a="1"/>
  <c r="I122" i="1"/>
  <c r="I432" i="1" a="1"/>
  <c r="I432" i="1"/>
  <c r="I802" i="1" a="1"/>
  <c r="I802" i="1"/>
  <c r="I712" i="1" a="1"/>
  <c r="I712" i="1"/>
  <c r="I755" i="1" a="1"/>
  <c r="I755" i="1"/>
  <c r="I787" i="1" a="1"/>
  <c r="I787" i="1"/>
  <c r="I351" i="1" a="1"/>
  <c r="I351" i="1"/>
  <c r="I790" i="1" a="1"/>
  <c r="I790" i="1"/>
  <c r="I110" i="1" a="1"/>
  <c r="I110" i="1"/>
  <c r="I192" i="1" a="1"/>
  <c r="I192" i="1"/>
  <c r="I791" i="1" a="1"/>
  <c r="I791" i="1"/>
  <c r="I556" i="1" a="1"/>
  <c r="I556" i="1"/>
  <c r="I798" i="1" a="1"/>
  <c r="I798" i="1"/>
  <c r="I799" i="1" a="1"/>
  <c r="I799" i="1"/>
  <c r="I801" i="1" a="1"/>
  <c r="I801" i="1"/>
  <c r="I923" i="1" a="1"/>
  <c r="I923" i="1"/>
  <c r="I601" i="1" a="1"/>
  <c r="I601" i="1"/>
  <c r="I813" i="1" a="1"/>
  <c r="I813" i="1"/>
  <c r="I804" i="1" a="1"/>
  <c r="I804" i="1"/>
  <c r="I61" i="1" a="1"/>
  <c r="I61" i="1"/>
  <c r="I251" i="1" a="1"/>
  <c r="I251" i="1"/>
  <c r="I517" i="1" a="1"/>
  <c r="I517" i="1"/>
  <c r="I938" i="1" a="1"/>
  <c r="I938" i="1"/>
  <c r="I815" i="1" a="1"/>
  <c r="I815" i="1"/>
  <c r="I816" i="1" a="1"/>
  <c r="I816" i="1"/>
  <c r="I565" i="1" a="1"/>
  <c r="I565" i="1"/>
  <c r="I768" i="1" a="1"/>
  <c r="I768" i="1"/>
  <c r="I504" i="1" a="1"/>
  <c r="I504" i="1"/>
  <c r="I870" i="1" a="1"/>
  <c r="I870" i="1"/>
  <c r="I825" i="1" a="1"/>
  <c r="I825" i="1"/>
  <c r="I350" i="1" a="1"/>
  <c r="I350" i="1"/>
  <c r="I827" i="1" a="1"/>
  <c r="I827" i="1"/>
  <c r="I831" i="1" a="1"/>
  <c r="I831" i="1"/>
  <c r="I325" i="1" a="1"/>
  <c r="I325" i="1"/>
  <c r="I837" i="1" a="1"/>
  <c r="I837" i="1"/>
  <c r="I31" i="1" a="1"/>
  <c r="I31" i="1"/>
  <c r="I836" i="1" a="1"/>
  <c r="I836" i="1"/>
  <c r="I230" i="1" a="1"/>
  <c r="I230" i="1"/>
  <c r="I897" i="1" a="1"/>
  <c r="I897" i="1"/>
  <c r="I960" i="1" a="1"/>
  <c r="I960" i="1"/>
  <c r="I838" i="1" a="1"/>
  <c r="I838" i="1"/>
  <c r="I13" i="1" a="1"/>
  <c r="I13" i="1"/>
  <c r="I711" i="1" a="1"/>
  <c r="I711" i="1"/>
  <c r="I840" i="1" a="1"/>
  <c r="I840" i="1"/>
  <c r="I818" i="1" a="1"/>
  <c r="I818" i="1"/>
  <c r="I335" i="1" a="1"/>
  <c r="I335" i="1"/>
  <c r="I844" i="1" a="1"/>
  <c r="I844" i="1"/>
  <c r="I848" i="1" a="1"/>
  <c r="I848" i="1"/>
  <c r="I841" i="1" a="1"/>
  <c r="I841" i="1"/>
  <c r="I854" i="1" a="1"/>
  <c r="I854" i="1"/>
  <c r="I843" i="1" a="1"/>
  <c r="I843" i="1"/>
  <c r="I508" i="1" a="1"/>
  <c r="I508" i="1"/>
  <c r="I842" i="1" a="1"/>
  <c r="I842" i="1"/>
  <c r="I845" i="1" a="1"/>
  <c r="I845" i="1"/>
  <c r="I952" i="1" a="1"/>
  <c r="I952" i="1"/>
  <c r="I859" i="1" a="1"/>
  <c r="I859" i="1"/>
  <c r="I785" i="1" a="1"/>
  <c r="I785" i="1"/>
  <c r="I846" i="1" a="1"/>
  <c r="I846" i="1"/>
  <c r="I849" i="1" a="1"/>
  <c r="I849" i="1"/>
  <c r="I48" i="1" a="1"/>
  <c r="I48" i="1"/>
  <c r="I850" i="1" a="1"/>
  <c r="I850" i="1"/>
  <c r="I853" i="1" a="1"/>
  <c r="I853" i="1"/>
  <c r="I513" i="1" a="1"/>
  <c r="I513" i="1"/>
  <c r="I566" i="1" a="1"/>
  <c r="I566" i="1"/>
  <c r="I855" i="1" a="1"/>
  <c r="I855" i="1"/>
  <c r="I867" i="1" a="1"/>
  <c r="I867" i="1"/>
  <c r="I861" i="1" a="1"/>
  <c r="I861" i="1"/>
  <c r="I868" i="1" a="1"/>
  <c r="I868" i="1"/>
  <c r="I174" i="1" a="1"/>
  <c r="I174" i="1"/>
  <c r="I862" i="1" a="1"/>
  <c r="I862" i="1"/>
  <c r="I828" i="1" a="1"/>
  <c r="I828" i="1"/>
  <c r="I866" i="1" a="1"/>
  <c r="I866" i="1"/>
  <c r="I389" i="1" a="1"/>
  <c r="I389" i="1"/>
  <c r="I632" i="1" a="1"/>
  <c r="I632" i="1"/>
  <c r="I555" i="1" a="1"/>
  <c r="I555" i="1"/>
  <c r="I879" i="1" a="1"/>
  <c r="I879" i="1"/>
  <c r="I877" i="1" a="1"/>
  <c r="I877" i="1"/>
  <c r="I878" i="1" a="1"/>
  <c r="I878" i="1"/>
  <c r="I346" i="1" a="1"/>
  <c r="I346" i="1"/>
  <c r="I459" i="1" a="1"/>
  <c r="I459" i="1"/>
  <c r="I880" i="1" a="1"/>
  <c r="I880" i="1"/>
  <c r="I964" i="1" a="1"/>
  <c r="I964" i="1"/>
  <c r="I881" i="1" a="1"/>
  <c r="I881" i="1"/>
  <c r="I707" i="1" a="1"/>
  <c r="I707" i="1"/>
  <c r="I882" i="1" a="1"/>
  <c r="I882" i="1"/>
  <c r="I893" i="1" a="1"/>
  <c r="I893" i="1"/>
  <c r="I901" i="1" a="1"/>
  <c r="I901" i="1"/>
  <c r="I646" i="1" a="1"/>
  <c r="I646" i="1"/>
  <c r="I907" i="1" a="1"/>
  <c r="I907" i="1"/>
  <c r="I998" i="1" a="1"/>
  <c r="I998" i="1"/>
  <c r="I58" i="1" a="1"/>
  <c r="I58" i="1"/>
  <c r="I138" i="1" a="1"/>
  <c r="I138" i="1"/>
  <c r="I779" i="1" a="1"/>
  <c r="I779" i="1"/>
  <c r="I600" i="1" a="1"/>
  <c r="I600" i="1"/>
  <c r="I885" i="1" a="1"/>
  <c r="I885" i="1"/>
  <c r="I235" i="1" a="1"/>
  <c r="I235" i="1"/>
  <c r="I886" i="1" a="1"/>
  <c r="I886" i="1"/>
  <c r="I418" i="1" a="1"/>
  <c r="I418" i="1"/>
  <c r="I582" i="1" a="1"/>
  <c r="I582" i="1"/>
  <c r="I911" i="1" a="1"/>
  <c r="I911" i="1"/>
  <c r="I88" i="1" a="1"/>
  <c r="I88" i="1"/>
  <c r="I888" i="1" a="1"/>
  <c r="I888" i="1"/>
  <c r="I425" i="1" a="1"/>
  <c r="I425" i="1"/>
  <c r="I642" i="1" a="1"/>
  <c r="I642" i="1"/>
  <c r="I919" i="1" a="1"/>
  <c r="I919" i="1"/>
  <c r="I2" i="1" a="1"/>
  <c r="I2" i="1"/>
  <c r="I896" i="1" a="1"/>
  <c r="I896" i="1"/>
  <c r="I899" i="1" a="1"/>
  <c r="I899" i="1"/>
  <c r="I900" i="1" a="1"/>
  <c r="I900" i="1"/>
  <c r="I494" i="1" a="1"/>
  <c r="I494" i="1"/>
  <c r="I920" i="1" a="1"/>
  <c r="I920" i="1"/>
  <c r="I716" i="1" a="1"/>
  <c r="I716" i="1"/>
  <c r="I268" i="1" a="1"/>
  <c r="I268" i="1"/>
  <c r="I905" i="1" a="1"/>
  <c r="I905" i="1"/>
  <c r="I857" i="1" a="1"/>
  <c r="I857" i="1"/>
  <c r="I85" i="1" a="1"/>
  <c r="I85" i="1"/>
  <c r="I796" i="1" a="1"/>
  <c r="I796" i="1"/>
  <c r="I927" i="1" a="1"/>
  <c r="I927" i="1"/>
  <c r="I929" i="1" a="1"/>
  <c r="I929" i="1"/>
  <c r="I740" i="1" a="1"/>
  <c r="I740" i="1"/>
  <c r="I290" i="1" a="1"/>
  <c r="I290" i="1"/>
  <c r="I931" i="1" a="1"/>
  <c r="I931" i="1"/>
  <c r="I811" i="1" a="1"/>
  <c r="I811" i="1"/>
  <c r="I930" i="1" a="1"/>
  <c r="I930" i="1"/>
  <c r="I939" i="1" a="1"/>
  <c r="I939" i="1"/>
  <c r="I942" i="1" a="1"/>
  <c r="I942" i="1"/>
  <c r="I943" i="1" a="1"/>
  <c r="I943" i="1"/>
  <c r="I609" i="1" a="1"/>
  <c r="I609" i="1"/>
  <c r="I349" i="1" a="1"/>
  <c r="I349" i="1"/>
  <c r="I200" i="1" a="1"/>
  <c r="I200" i="1"/>
  <c r="I944" i="1" a="1"/>
  <c r="I944" i="1"/>
  <c r="I934" i="1" a="1"/>
  <c r="I934" i="1"/>
  <c r="I577" i="1" a="1"/>
  <c r="I577" i="1"/>
  <c r="I66" i="1" a="1"/>
  <c r="I66" i="1"/>
  <c r="I312" i="1" a="1"/>
  <c r="I312" i="1"/>
  <c r="I792" i="1" a="1"/>
  <c r="I792" i="1"/>
  <c r="I972" i="1" a="1"/>
  <c r="I972" i="1"/>
  <c r="I1000" i="1" a="1"/>
  <c r="I1000" i="1"/>
  <c r="I396" i="1" a="1"/>
  <c r="I396" i="1"/>
  <c r="I536" i="1" a="1"/>
  <c r="I536" i="1"/>
  <c r="I945" i="1" a="1"/>
  <c r="I945" i="1"/>
  <c r="I713" i="1" a="1"/>
  <c r="I713" i="1"/>
  <c r="I869" i="1" a="1"/>
  <c r="I869" i="1"/>
  <c r="I532" i="1" a="1"/>
  <c r="I532" i="1"/>
  <c r="I951" i="1" a="1"/>
  <c r="I951" i="1"/>
  <c r="I953" i="1" a="1"/>
  <c r="I953" i="1"/>
  <c r="I956" i="1" a="1"/>
  <c r="I956" i="1"/>
  <c r="I541" i="1" a="1"/>
  <c r="I541" i="1"/>
  <c r="I957" i="1" a="1"/>
  <c r="I957" i="1"/>
  <c r="I245" i="1" a="1"/>
  <c r="I245" i="1"/>
  <c r="I356" i="1" a="1"/>
  <c r="I356" i="1"/>
  <c r="I469" i="1" a="1"/>
  <c r="I469" i="1"/>
  <c r="I701" i="1" a="1"/>
  <c r="I701" i="1"/>
  <c r="I961" i="1" a="1"/>
  <c r="I961" i="1"/>
  <c r="I829" i="1" a="1"/>
  <c r="I829" i="1"/>
  <c r="I963" i="1" a="1"/>
  <c r="I963" i="1"/>
  <c r="I941" i="1" a="1"/>
  <c r="I941" i="1"/>
  <c r="I362" i="1" a="1"/>
  <c r="I362" i="1"/>
  <c r="I949" i="1" a="1"/>
  <c r="I949" i="1"/>
  <c r="I965" i="1" a="1"/>
  <c r="I965" i="1"/>
  <c r="I587" i="1" a="1"/>
  <c r="I587" i="1"/>
  <c r="I337" i="1" a="1"/>
  <c r="I337" i="1"/>
  <c r="I572" i="1" a="1"/>
  <c r="I572" i="1"/>
  <c r="I10" i="1" a="1"/>
  <c r="I10" i="1"/>
  <c r="I553" i="1" a="1"/>
  <c r="I553" i="1"/>
  <c r="I966" i="1" a="1"/>
  <c r="I966" i="1"/>
  <c r="I969" i="1" a="1"/>
  <c r="I969" i="1"/>
  <c r="I702" i="1" a="1"/>
  <c r="I702" i="1"/>
  <c r="I140" i="1" a="1"/>
  <c r="I140" i="1"/>
  <c r="I970" i="1" a="1"/>
  <c r="I970" i="1"/>
  <c r="I84" i="1" a="1"/>
  <c r="I84" i="1"/>
  <c r="I154" i="1" a="1"/>
  <c r="I154" i="1"/>
  <c r="I452" i="1" a="1"/>
  <c r="I452" i="1"/>
  <c r="I100" i="1" a="1"/>
  <c r="I100" i="1"/>
  <c r="I974" i="1" a="1"/>
  <c r="I974" i="1"/>
  <c r="I980" i="1" a="1"/>
  <c r="I980" i="1"/>
  <c r="I526" i="1" a="1"/>
  <c r="I526" i="1"/>
  <c r="I940" i="1" a="1"/>
  <c r="I940" i="1"/>
  <c r="I995" i="1" a="1"/>
  <c r="I995" i="1"/>
  <c r="I976" i="1" a="1"/>
  <c r="I976" i="1"/>
  <c r="I979" i="1" a="1"/>
  <c r="I979" i="1"/>
  <c r="I983" i="1" a="1"/>
  <c r="I983" i="1"/>
  <c r="I210" i="1" a="1"/>
  <c r="I210" i="1"/>
  <c r="I436" i="1" a="1"/>
  <c r="I436" i="1"/>
  <c r="I778" i="1" a="1"/>
  <c r="I778" i="1"/>
  <c r="I984" i="1" a="1"/>
  <c r="I984" i="1"/>
  <c r="I891" i="1" a="1"/>
  <c r="I891" i="1"/>
  <c r="I985" i="1" a="1"/>
  <c r="I985" i="1"/>
  <c r="I663" i="1" a="1"/>
  <c r="I663" i="1"/>
  <c r="I310" i="1" a="1"/>
  <c r="I310" i="1"/>
  <c r="I545" i="1" a="1"/>
  <c r="I545" i="1"/>
  <c r="I986" i="1" a="1"/>
  <c r="I986" i="1"/>
  <c r="I987" i="1" a="1"/>
  <c r="I987" i="1"/>
  <c r="I679" i="1" a="1"/>
  <c r="I679" i="1"/>
  <c r="I782" i="1" a="1"/>
  <c r="I782" i="1"/>
  <c r="I988" i="1" a="1"/>
  <c r="I988" i="1"/>
  <c r="I917" i="1" a="1"/>
  <c r="I917" i="1"/>
  <c r="I758" i="1" a="1"/>
  <c r="I758" i="1"/>
  <c r="I26" i="1" a="1"/>
  <c r="I26" i="1"/>
  <c r="I83" i="1" a="1"/>
  <c r="I83" i="1"/>
  <c r="I473" i="1" a="1"/>
  <c r="I473" i="1"/>
  <c r="I989" i="1" a="1"/>
  <c r="I989" i="1"/>
  <c r="I992" i="1" a="1"/>
  <c r="I992" i="1"/>
  <c r="I996" i="1" a="1"/>
  <c r="I996" i="1"/>
  <c r="I999" i="1" a="1"/>
  <c r="I999" i="1"/>
  <c r="I387" i="1" a="1"/>
  <c r="I387" i="1"/>
  <c r="I430" i="1" a="1"/>
  <c r="I430" i="1"/>
  <c r="I997" i="1" a="1"/>
  <c r="I997" i="1"/>
  <c r="I990" i="1" a="1"/>
  <c r="I990" i="1"/>
  <c r="I234" i="1" a="1"/>
  <c r="I234" i="1"/>
  <c r="I521" i="1" a="1"/>
  <c r="I521" i="1"/>
  <c r="I806" i="1" a="1"/>
  <c r="I806" i="1"/>
  <c r="I909" i="1" a="1"/>
  <c r="I909" i="1"/>
  <c r="I858" i="1" a="1"/>
  <c r="I858" i="1"/>
  <c r="I212" i="1" a="1"/>
  <c r="I212" i="1"/>
  <c r="I651" i="1" a="1"/>
  <c r="I651" i="1"/>
  <c r="I3" i="1" a="1"/>
  <c r="I3" i="1"/>
  <c r="B523" i="1"/>
  <c r="B5" i="1"/>
  <c r="B8" i="1"/>
  <c r="B12" i="1"/>
  <c r="B11" i="1"/>
  <c r="B14" i="1"/>
  <c r="B611" i="1"/>
  <c r="B33" i="1"/>
  <c r="B17" i="1"/>
  <c r="B684" i="1"/>
  <c r="B368" i="1"/>
  <c r="B21" i="1"/>
  <c r="B433" i="1"/>
  <c r="B151" i="1"/>
  <c r="B15" i="1"/>
  <c r="B23" i="1"/>
  <c r="B922" i="1"/>
  <c r="B18" i="1"/>
  <c r="B908" i="1"/>
  <c r="B20" i="1"/>
  <c r="B185" i="1"/>
  <c r="B38" i="1"/>
  <c r="B226" i="1"/>
  <c r="B40" i="1"/>
  <c r="B43" i="1"/>
  <c r="B4" i="1"/>
  <c r="B465" i="1"/>
  <c r="B24" i="1"/>
  <c r="B592" i="1"/>
  <c r="B22" i="1"/>
  <c r="B709" i="1"/>
  <c r="B714" i="1"/>
  <c r="B45" i="1"/>
  <c r="B500" i="1"/>
  <c r="B25" i="1"/>
  <c r="B832" i="1"/>
  <c r="B16" i="1"/>
  <c r="B744" i="1"/>
  <c r="B35" i="1"/>
  <c r="B47" i="1"/>
  <c r="B239" i="1"/>
  <c r="B42" i="1"/>
  <c r="B59" i="1"/>
  <c r="B44" i="1"/>
  <c r="B62" i="1"/>
  <c r="B345" i="1"/>
  <c r="B449" i="1"/>
  <c r="B743" i="1"/>
  <c r="B446" i="1"/>
  <c r="B788" i="1"/>
  <c r="B50" i="1"/>
  <c r="B63" i="1"/>
  <c r="B520" i="1"/>
  <c r="B57" i="1"/>
  <c r="B593" i="1"/>
  <c r="B913" i="1"/>
  <c r="B135" i="1"/>
  <c r="B73" i="1"/>
  <c r="B324" i="1"/>
  <c r="B619" i="1"/>
  <c r="B721" i="1"/>
  <c r="B60" i="1"/>
  <c r="B65" i="1"/>
  <c r="B75" i="1"/>
  <c r="B71" i="1"/>
  <c r="B914" i="1"/>
  <c r="B77" i="1"/>
  <c r="B78" i="1"/>
  <c r="B190" i="1"/>
  <c r="B87" i="1"/>
  <c r="B323" i="1"/>
  <c r="B330" i="1"/>
  <c r="B106" i="1"/>
  <c r="B108" i="1"/>
  <c r="B79" i="1"/>
  <c r="B81" i="1"/>
  <c r="B321" i="1"/>
  <c r="B86" i="1"/>
  <c r="B143" i="1"/>
  <c r="B89" i="1"/>
  <c r="B667" i="1"/>
  <c r="B96" i="1"/>
  <c r="B115" i="1"/>
  <c r="B238" i="1"/>
  <c r="B336" i="1"/>
  <c r="B64" i="1"/>
  <c r="B97" i="1"/>
  <c r="B334" i="1"/>
  <c r="B102" i="1"/>
  <c r="B104" i="1"/>
  <c r="B117" i="1"/>
  <c r="B741" i="1"/>
  <c r="B794" i="1"/>
  <c r="B107" i="1"/>
  <c r="B233" i="1"/>
  <c r="B118" i="1"/>
  <c r="B994" i="1"/>
  <c r="B130" i="1"/>
  <c r="B132" i="1"/>
  <c r="B597" i="1"/>
  <c r="B937" i="1"/>
  <c r="B111" i="1"/>
  <c r="B435" i="1"/>
  <c r="B776" i="1"/>
  <c r="B978" i="1"/>
  <c r="B113" i="1"/>
  <c r="B55" i="1"/>
  <c r="B69" i="1"/>
  <c r="B193" i="1"/>
  <c r="B332" i="1"/>
  <c r="B116" i="1"/>
  <c r="B134" i="1"/>
  <c r="B733" i="1"/>
  <c r="B973" i="1"/>
  <c r="B120" i="1"/>
  <c r="B194" i="1"/>
  <c r="B136" i="1"/>
  <c r="B125" i="1"/>
  <c r="B946" i="1"/>
  <c r="B126" i="1"/>
  <c r="B822" i="1"/>
  <c r="B142" i="1"/>
  <c r="B127" i="1"/>
  <c r="B128" i="1"/>
  <c r="B148" i="1"/>
  <c r="B417" i="1"/>
  <c r="B585" i="1"/>
  <c r="B131" i="1"/>
  <c r="B149" i="1"/>
  <c r="B139" i="1"/>
  <c r="B150" i="1"/>
  <c r="B269" i="1"/>
  <c r="B144" i="1"/>
  <c r="B967" i="1"/>
  <c r="B146" i="1"/>
  <c r="B170" i="1"/>
  <c r="B147" i="1"/>
  <c r="B9" i="1"/>
  <c r="B182" i="1"/>
  <c r="B455" i="1"/>
  <c r="B781" i="1"/>
  <c r="B921" i="1"/>
  <c r="B397" i="1"/>
  <c r="B186" i="1"/>
  <c r="B152" i="1"/>
  <c r="B612" i="1"/>
  <c r="B157" i="1"/>
  <c r="B273" i="1"/>
  <c r="B474" i="1"/>
  <c r="B507" i="1"/>
  <c r="B767" i="1"/>
  <c r="B160" i="1"/>
  <c r="B161" i="1"/>
  <c r="B159" i="1"/>
  <c r="B163" i="1"/>
  <c r="B434" i="1"/>
  <c r="B153" i="1"/>
  <c r="B164" i="1"/>
  <c r="B166" i="1"/>
  <c r="B933" i="1"/>
  <c r="B400" i="1"/>
  <c r="B501" i="1"/>
  <c r="B187" i="1"/>
  <c r="B948" i="1"/>
  <c r="B221" i="1"/>
  <c r="B213" i="1"/>
  <c r="B786" i="1"/>
  <c r="B167" i="1"/>
  <c r="B889" i="1"/>
  <c r="B622" i="1"/>
  <c r="B53" i="1"/>
  <c r="B537" i="1"/>
  <c r="B168" i="1"/>
  <c r="B169" i="1"/>
  <c r="B215" i="1"/>
  <c r="B918" i="1"/>
  <c r="B199" i="1"/>
  <c r="B171" i="1"/>
  <c r="B172" i="1"/>
  <c r="B706" i="1"/>
  <c r="B179" i="1"/>
  <c r="B181" i="1"/>
  <c r="B232" i="1"/>
  <c r="B236" i="1"/>
  <c r="B398" i="1"/>
  <c r="B188" i="1"/>
  <c r="B189" i="1"/>
  <c r="B195" i="1"/>
  <c r="B196" i="1"/>
  <c r="B197" i="1"/>
  <c r="B198" i="1"/>
  <c r="B203" i="1"/>
  <c r="B241" i="1"/>
  <c r="B204" i="1"/>
  <c r="B206" i="1"/>
  <c r="B207" i="1"/>
  <c r="B242" i="1"/>
  <c r="B216" i="1"/>
  <c r="B660" i="1"/>
  <c r="B223" i="1"/>
  <c r="B137" i="1"/>
  <c r="B176" i="1"/>
  <c r="B224" i="1"/>
  <c r="B225" i="1"/>
  <c r="B807" i="1"/>
  <c r="B39" i="1"/>
  <c r="B314" i="1"/>
  <c r="B227" i="1"/>
  <c r="B243" i="1"/>
  <c r="B162" i="1"/>
  <c r="B329" i="1"/>
  <c r="B384" i="1"/>
  <c r="B237" i="1"/>
  <c r="B250" i="1"/>
  <c r="B34" i="1"/>
  <c r="B246" i="1"/>
  <c r="B249" i="1"/>
  <c r="B257" i="1"/>
  <c r="B178" i="1"/>
  <c r="B258" i="1"/>
  <c r="B262" i="1"/>
  <c r="B92" i="1"/>
  <c r="B264" i="1"/>
  <c r="B267" i="1"/>
  <c r="B254" i="1"/>
  <c r="B256" i="1"/>
  <c r="B704" i="1"/>
  <c r="B274" i="1"/>
  <c r="B761" i="1"/>
  <c r="B259" i="1"/>
  <c r="B260" i="1"/>
  <c r="B275" i="1"/>
  <c r="B265" i="1"/>
  <c r="B463" i="1"/>
  <c r="B615" i="1"/>
  <c r="B809" i="1"/>
  <c r="B266" i="1"/>
  <c r="B466" i="1"/>
  <c r="B503" i="1"/>
  <c r="B906" i="1"/>
  <c r="B270" i="1"/>
  <c r="B277" i="1"/>
  <c r="B835" i="1"/>
  <c r="B892" i="1"/>
  <c r="B276" i="1"/>
  <c r="B333" i="1"/>
  <c r="B278" i="1"/>
  <c r="B279" i="1"/>
  <c r="B280" i="1"/>
  <c r="B281" i="1"/>
  <c r="B284" i="1"/>
  <c r="B293" i="1"/>
  <c r="B285" i="1"/>
  <c r="B487" i="1"/>
  <c r="B288" i="1"/>
  <c r="B887" i="1"/>
  <c r="B295" i="1"/>
  <c r="B289" i="1"/>
  <c r="B902" i="1"/>
  <c r="B292" i="1"/>
  <c r="B297" i="1"/>
  <c r="B175" i="1"/>
  <c r="B590" i="1"/>
  <c r="B301" i="1"/>
  <c r="B1001" i="1"/>
  <c r="B211" i="1"/>
  <c r="B302" i="1"/>
  <c r="B746" i="1"/>
  <c r="B355" i="1"/>
  <c r="B409" i="1"/>
  <c r="B313" i="1"/>
  <c r="B968" i="1"/>
  <c r="B80" i="1"/>
  <c r="B304" i="1"/>
  <c r="B451" i="1"/>
  <c r="B563" i="1"/>
  <c r="B109" i="1"/>
  <c r="B112" i="1"/>
  <c r="B208" i="1"/>
  <c r="B315" i="1"/>
  <c r="B316" i="1"/>
  <c r="B317" i="1"/>
  <c r="B247" i="1"/>
  <c r="B299" i="1"/>
  <c r="B375" i="1"/>
  <c r="B319" i="1"/>
  <c r="B320" i="1"/>
  <c r="B306" i="1"/>
  <c r="B894" i="1"/>
  <c r="B338" i="1"/>
  <c r="B341" i="1"/>
  <c r="B342" i="1"/>
  <c r="B29" i="1"/>
  <c r="B99" i="1"/>
  <c r="B318" i="1"/>
  <c r="B231" i="1"/>
  <c r="B343" i="1"/>
  <c r="B347" i="1"/>
  <c r="B694" i="1"/>
  <c r="B352" i="1"/>
  <c r="B864" i="1"/>
  <c r="B7" i="1"/>
  <c r="B360" i="1"/>
  <c r="B361" i="1"/>
  <c r="B363" i="1"/>
  <c r="B589" i="1"/>
  <c r="B954" i="1"/>
  <c r="B67" i="1"/>
  <c r="B366" i="1"/>
  <c r="B904" i="1"/>
  <c r="B103" i="1"/>
  <c r="B229" i="1"/>
  <c r="B367" i="1"/>
  <c r="B661" i="1"/>
  <c r="B369" i="1"/>
  <c r="B376" i="1"/>
  <c r="B19" i="1"/>
  <c r="B70" i="1"/>
  <c r="B378" i="1"/>
  <c r="B380" i="1"/>
  <c r="B382" i="1"/>
  <c r="B653" i="1"/>
  <c r="B383" i="1"/>
  <c r="B294" i="1"/>
  <c r="B461" i="1"/>
  <c r="B385" i="1"/>
  <c r="B358" i="1"/>
  <c r="B327" i="1"/>
  <c r="B750" i="1"/>
  <c r="B975" i="1"/>
  <c r="B191" i="1"/>
  <c r="B393" i="1"/>
  <c r="B340" i="1"/>
  <c r="B253" i="1"/>
  <c r="B344" i="1"/>
  <c r="B780" i="1"/>
  <c r="B395" i="1"/>
  <c r="B365" i="1"/>
  <c r="B6" i="1"/>
  <c r="B91" i="1"/>
  <c r="B381" i="1"/>
  <c r="B594" i="1"/>
  <c r="B821" i="1"/>
  <c r="B121" i="1"/>
  <c r="B222" i="1"/>
  <c r="B399" i="1"/>
  <c r="B641" i="1"/>
  <c r="B745" i="1"/>
  <c r="B370" i="1"/>
  <c r="B371" i="1"/>
  <c r="B401" i="1"/>
  <c r="B372" i="1"/>
  <c r="B621" i="1"/>
  <c r="B947" i="1"/>
  <c r="B402" i="1"/>
  <c r="B415" i="1"/>
  <c r="B884" i="1"/>
  <c r="B403" i="1"/>
  <c r="B404" i="1"/>
  <c r="B406" i="1"/>
  <c r="B411" i="1"/>
  <c r="B640" i="1"/>
  <c r="B839" i="1"/>
  <c r="B354" i="1"/>
  <c r="B502" i="1"/>
  <c r="B416" i="1"/>
  <c r="B124" i="1"/>
  <c r="B165" i="1"/>
  <c r="B426" i="1"/>
  <c r="B49" i="1"/>
  <c r="B119" i="1"/>
  <c r="B420" i="1"/>
  <c r="B373" i="1"/>
  <c r="B359" i="1"/>
  <c r="B377" i="1"/>
  <c r="B390" i="1"/>
  <c r="B412" i="1"/>
  <c r="B505" i="1"/>
  <c r="B971" i="1"/>
  <c r="B422" i="1"/>
  <c r="B82" i="1"/>
  <c r="B156" i="1"/>
  <c r="B423" i="1"/>
  <c r="B424" i="1"/>
  <c r="B819" i="1"/>
  <c r="B95" i="1"/>
  <c r="B812" i="1"/>
  <c r="B392" i="1"/>
  <c r="B437" i="1"/>
  <c r="B439" i="1"/>
  <c r="B695" i="1"/>
  <c r="B440" i="1"/>
  <c r="B441" i="1"/>
  <c r="B912" i="1"/>
  <c r="B443" i="1"/>
  <c r="B444" i="1"/>
  <c r="B394" i="1"/>
  <c r="B445" i="1"/>
  <c r="B32" i="1"/>
  <c r="B407" i="1"/>
  <c r="B410" i="1"/>
  <c r="B244" i="1"/>
  <c r="B282" i="1"/>
  <c r="B490" i="1"/>
  <c r="B492" i="1"/>
  <c r="B453" i="1"/>
  <c r="B823" i="1"/>
  <c r="B454" i="1"/>
  <c r="B405" i="1"/>
  <c r="B460" i="1"/>
  <c r="B991" i="1"/>
  <c r="B471" i="1"/>
  <c r="B472" i="1"/>
  <c r="B924" i="1"/>
  <c r="B308" i="1"/>
  <c r="B475" i="1"/>
  <c r="B476" i="1"/>
  <c r="B477" i="1"/>
  <c r="B68" i="1"/>
  <c r="B916" i="1"/>
  <c r="B413" i="1"/>
  <c r="B478" i="1"/>
  <c r="B479" i="1"/>
  <c r="B863" i="1"/>
  <c r="B483" i="1"/>
  <c r="B484" i="1"/>
  <c r="B903" i="1"/>
  <c r="B421" i="1"/>
  <c r="B686" i="1"/>
  <c r="B959" i="1"/>
  <c r="B364" i="1"/>
  <c r="B488" i="1"/>
  <c r="B427" i="1"/>
  <c r="B388" i="1"/>
  <c r="B447" i="1"/>
  <c r="B491" i="1"/>
  <c r="B448" i="1"/>
  <c r="B561" i="1"/>
  <c r="B498" i="1"/>
  <c r="B482" i="1"/>
  <c r="B462" i="1"/>
  <c r="B883" i="1"/>
  <c r="B962" i="1"/>
  <c r="B499" i="1"/>
  <c r="B470" i="1"/>
  <c r="B540" i="1"/>
  <c r="B588" i="1"/>
  <c r="B516" i="1"/>
  <c r="B518" i="1"/>
  <c r="B770" i="1"/>
  <c r="B322" i="1"/>
  <c r="B357" i="1"/>
  <c r="B511" i="1"/>
  <c r="B519" i="1"/>
  <c r="B105" i="1"/>
  <c r="B522" i="1"/>
  <c r="B353" i="1"/>
  <c r="B527" i="1"/>
  <c r="B528" i="1"/>
  <c r="B630" i="1"/>
  <c r="B529" i="1"/>
  <c r="B530" i="1"/>
  <c r="B183" i="1"/>
  <c r="B820" i="1"/>
  <c r="B101" i="1"/>
  <c r="B834" i="1"/>
  <c r="B485" i="1"/>
  <c r="B724" i="1"/>
  <c r="B533" i="1"/>
  <c r="B489" i="1"/>
  <c r="B240" i="1"/>
  <c r="B535" i="1"/>
  <c r="B486" i="1"/>
  <c r="B496" i="1"/>
  <c r="B546" i="1"/>
  <c r="B548" i="1"/>
  <c r="B467" i="1"/>
  <c r="B497" i="1"/>
  <c r="B549" i="1"/>
  <c r="B41" i="1"/>
  <c r="B551" i="1"/>
  <c r="B728" i="1"/>
  <c r="B506" i="1"/>
  <c r="B559" i="1"/>
  <c r="B272" i="1"/>
  <c r="B37" i="1"/>
  <c r="B158" i="1"/>
  <c r="B797" i="1"/>
  <c r="B514" i="1"/>
  <c r="B928" i="1"/>
  <c r="B408" i="1"/>
  <c r="B515" i="1"/>
  <c r="B510" i="1"/>
  <c r="B875" i="1"/>
  <c r="B789" i="1"/>
  <c r="B379" i="1"/>
  <c r="B481" i="1"/>
  <c r="B493" i="1"/>
  <c r="B560" i="1"/>
  <c r="B562" i="1"/>
  <c r="B531" i="1"/>
  <c r="B567" i="1"/>
  <c r="B261" i="1"/>
  <c r="B456" i="1"/>
  <c r="B534" i="1"/>
  <c r="B46" i="1"/>
  <c r="B450" i="1"/>
  <c r="B568" i="1"/>
  <c r="B571" i="1"/>
  <c r="B129" i="1"/>
  <c r="B573" i="1"/>
  <c r="B803" i="1"/>
  <c r="B76" i="1"/>
  <c r="B538" i="1"/>
  <c r="B576" i="1"/>
  <c r="B760" i="1"/>
  <c r="B871" i="1"/>
  <c r="B579" i="1"/>
  <c r="B581" i="1"/>
  <c r="B583" i="1"/>
  <c r="B539" i="1"/>
  <c r="B177" i="1"/>
  <c r="B217" i="1"/>
  <c r="B773" i="1"/>
  <c r="B54" i="1"/>
  <c r="B543" i="1"/>
  <c r="B72" i="1"/>
  <c r="B94" i="1"/>
  <c r="B303" i="1"/>
  <c r="B552" i="1"/>
  <c r="B682" i="1"/>
  <c r="B554" i="1"/>
  <c r="B729" i="1"/>
  <c r="B830" i="1"/>
  <c r="B591" i="1"/>
  <c r="B145" i="1"/>
  <c r="B557" i="1"/>
  <c r="B558" i="1"/>
  <c r="B604" i="1"/>
  <c r="B608" i="1"/>
  <c r="B610" i="1"/>
  <c r="B305" i="1"/>
  <c r="B677" i="1"/>
  <c r="B687" i="1"/>
  <c r="B699" i="1"/>
  <c r="B564" i="1"/>
  <c r="B578" i="1"/>
  <c r="B614" i="1"/>
  <c r="B774" i="1"/>
  <c r="B616" i="1"/>
  <c r="B214" i="1"/>
  <c r="B617" i="1"/>
  <c r="B584" i="1"/>
  <c r="B606" i="1"/>
  <c r="B586" i="1"/>
  <c r="B300" i="1"/>
  <c r="B935" i="1"/>
  <c r="B271" i="1"/>
  <c r="B339" i="1"/>
  <c r="B544" i="1"/>
  <c r="B595" i="1"/>
  <c r="B624" i="1"/>
  <c r="B865" i="1"/>
  <c r="B255" i="1"/>
  <c r="B296" i="1"/>
  <c r="B458" i="1"/>
  <c r="B669" i="1"/>
  <c r="B851" i="1"/>
  <c r="B542" i="1"/>
  <c r="B981" i="1"/>
  <c r="B263" i="1"/>
  <c r="B468" i="1"/>
  <c r="B464" i="1"/>
  <c r="B599" i="1"/>
  <c r="B668" i="1"/>
  <c r="B673" i="1"/>
  <c r="B950" i="1"/>
  <c r="B28" i="1"/>
  <c r="B348" i="1"/>
  <c r="B688" i="1"/>
  <c r="B550" i="1"/>
  <c r="B626" i="1"/>
  <c r="B627" i="1"/>
  <c r="B628" i="1"/>
  <c r="B596" i="1"/>
  <c r="B36" i="1"/>
  <c r="B141" i="1"/>
  <c r="B631" i="1"/>
  <c r="B638" i="1"/>
  <c r="B643" i="1"/>
  <c r="B309" i="1"/>
  <c r="B419" i="1"/>
  <c r="B613" i="1"/>
  <c r="B876" i="1"/>
  <c r="B431" i="1"/>
  <c r="B634" i="1"/>
  <c r="B647" i="1"/>
  <c r="B648" i="1"/>
  <c r="B650" i="1"/>
  <c r="B652" i="1"/>
  <c r="B654" i="1"/>
  <c r="B655" i="1"/>
  <c r="B656" i="1"/>
  <c r="B658" i="1"/>
  <c r="B659" i="1"/>
  <c r="B662" i="1"/>
  <c r="B509" i="1"/>
  <c r="B808" i="1"/>
  <c r="B512" i="1"/>
  <c r="B598" i="1"/>
  <c r="B602" i="1"/>
  <c r="B817" i="1"/>
  <c r="B218" i="1"/>
  <c r="B665" i="1"/>
  <c r="B649" i="1"/>
  <c r="B603" i="1"/>
  <c r="B286" i="1"/>
  <c r="B428" i="1"/>
  <c r="B570" i="1"/>
  <c r="B666" i="1"/>
  <c r="B674" i="1"/>
  <c r="B958" i="1"/>
  <c r="B636" i="1"/>
  <c r="B30" i="1"/>
  <c r="B675" i="1"/>
  <c r="B860" i="1"/>
  <c r="B639" i="1"/>
  <c r="B824" i="1"/>
  <c r="B676" i="1"/>
  <c r="B982" i="1"/>
  <c r="B220" i="1"/>
  <c r="B74" i="1"/>
  <c r="B681" i="1"/>
  <c r="B307" i="1"/>
  <c r="B726" i="1"/>
  <c r="B607" i="1"/>
  <c r="B993" i="1"/>
  <c r="B629" i="1"/>
  <c r="B623" i="1"/>
  <c r="B685" i="1"/>
  <c r="B637" i="1"/>
  <c r="B689" i="1"/>
  <c r="B51" i="1"/>
  <c r="B480" i="1"/>
  <c r="B805" i="1"/>
  <c r="B93" i="1"/>
  <c r="B283" i="1"/>
  <c r="B719" i="1"/>
  <c r="B618" i="1"/>
  <c r="B625" i="1"/>
  <c r="B826" i="1"/>
  <c r="B569" i="1"/>
  <c r="B672" i="1"/>
  <c r="B757" i="1"/>
  <c r="B691" i="1"/>
  <c r="B692" i="1"/>
  <c r="B645" i="1"/>
  <c r="B693" i="1"/>
  <c r="B697" i="1"/>
  <c r="B734" i="1"/>
  <c r="B925" i="1"/>
  <c r="B698" i="1"/>
  <c r="B252" i="1"/>
  <c r="B700" i="1"/>
  <c r="B575" i="1"/>
  <c r="B703" i="1"/>
  <c r="B872" i="1"/>
  <c r="B201" i="1"/>
  <c r="B664" i="1"/>
  <c r="B705" i="1"/>
  <c r="B856" i="1"/>
  <c r="B326" i="1"/>
  <c r="B683" i="1"/>
  <c r="B932" i="1"/>
  <c r="B926" i="1"/>
  <c r="B298" i="1"/>
  <c r="B708" i="1"/>
  <c r="B895" i="1"/>
  <c r="B670" i="1"/>
  <c r="B717" i="1"/>
  <c r="B718" i="1"/>
  <c r="B678" i="1"/>
  <c r="B720" i="1"/>
  <c r="B722" i="1"/>
  <c r="B725" i="1"/>
  <c r="B727" i="1"/>
  <c r="B184" i="1"/>
  <c r="B414" i="1"/>
  <c r="B800" i="1"/>
  <c r="B852" i="1"/>
  <c r="B680" i="1"/>
  <c r="B696" i="1"/>
  <c r="B936" i="1"/>
  <c r="B133" i="1"/>
  <c r="B605" i="1"/>
  <c r="B833" i="1"/>
  <c r="B114" i="1"/>
  <c r="B730" i="1"/>
  <c r="B731" i="1"/>
  <c r="B732" i="1"/>
  <c r="B710" i="1"/>
  <c r="B633" i="1"/>
  <c r="B735" i="1"/>
  <c r="B173" i="1"/>
  <c r="B736" i="1"/>
  <c r="B737" i="1"/>
  <c r="B795" i="1"/>
  <c r="B715" i="1"/>
  <c r="B331" i="1"/>
  <c r="B495" i="1"/>
  <c r="B723" i="1"/>
  <c r="B574" i="1"/>
  <c r="B748" i="1"/>
  <c r="B580" i="1"/>
  <c r="B219" i="1"/>
  <c r="B847" i="1"/>
  <c r="B738" i="1"/>
  <c r="B524" i="1"/>
  <c r="B644" i="1"/>
  <c r="B739" i="1"/>
  <c r="B810" i="1"/>
  <c r="B955" i="1"/>
  <c r="B898" i="1"/>
  <c r="B763" i="1"/>
  <c r="B205" i="1"/>
  <c r="B391" i="1"/>
  <c r="B180" i="1"/>
  <c r="B328" i="1"/>
  <c r="B742" i="1"/>
  <c r="B874" i="1"/>
  <c r="B747" i="1"/>
  <c r="B749" i="1"/>
  <c r="B90" i="1"/>
  <c r="B751" i="1"/>
  <c r="B910" i="1"/>
  <c r="B52" i="1"/>
  <c r="B155" i="1"/>
  <c r="B769" i="1"/>
  <c r="B752" i="1"/>
  <c r="B890" i="1"/>
  <c r="B123" i="1"/>
  <c r="B374" i="1"/>
  <c r="B525" i="1"/>
  <c r="B753" i="1"/>
  <c r="B814" i="1"/>
  <c r="B754" i="1"/>
  <c r="B209" i="1"/>
  <c r="B248" i="1"/>
  <c r="B291" i="1"/>
  <c r="B657" i="1"/>
  <c r="B756" i="1"/>
  <c r="B759" i="1"/>
  <c r="B671" i="1"/>
  <c r="B386" i="1"/>
  <c r="B762" i="1"/>
  <c r="B27" i="1"/>
  <c r="B438" i="1"/>
  <c r="B690" i="1"/>
  <c r="B764" i="1"/>
  <c r="B635" i="1"/>
  <c r="B202" i="1"/>
  <c r="B287" i="1"/>
  <c r="B765" i="1"/>
  <c r="B56" i="1"/>
  <c r="B429" i="1"/>
  <c r="B442" i="1"/>
  <c r="B977" i="1"/>
  <c r="B766" i="1"/>
  <c r="B228" i="1"/>
  <c r="B772" i="1"/>
  <c r="B771" i="1"/>
  <c r="B547" i="1"/>
  <c r="B873" i="1"/>
  <c r="B915" i="1"/>
  <c r="B311" i="1"/>
  <c r="B775" i="1"/>
  <c r="B777" i="1"/>
  <c r="B98" i="1"/>
  <c r="B620" i="1"/>
  <c r="B793" i="1"/>
  <c r="B457" i="1"/>
  <c r="B783" i="1"/>
  <c r="B784" i="1"/>
  <c r="B122" i="1"/>
  <c r="B432" i="1"/>
  <c r="B802" i="1"/>
  <c r="B712" i="1"/>
  <c r="B755" i="1"/>
  <c r="B787" i="1"/>
  <c r="B351" i="1"/>
  <c r="B790" i="1"/>
  <c r="B110" i="1"/>
  <c r="B192" i="1"/>
  <c r="B791" i="1"/>
  <c r="B556" i="1"/>
  <c r="B798" i="1"/>
  <c r="B799" i="1"/>
  <c r="B801" i="1"/>
  <c r="B923" i="1"/>
  <c r="B601" i="1"/>
  <c r="B813" i="1"/>
  <c r="B804" i="1"/>
  <c r="B61" i="1"/>
  <c r="B251" i="1"/>
  <c r="B517" i="1"/>
  <c r="B938" i="1"/>
  <c r="B815" i="1"/>
  <c r="B816" i="1"/>
  <c r="B565" i="1"/>
  <c r="B768" i="1"/>
  <c r="B504" i="1"/>
  <c r="B870" i="1"/>
  <c r="B825" i="1"/>
  <c r="B350" i="1"/>
  <c r="B827" i="1"/>
  <c r="B831" i="1"/>
  <c r="B325" i="1"/>
  <c r="B837" i="1"/>
  <c r="B31" i="1"/>
  <c r="B836" i="1"/>
  <c r="B230" i="1"/>
  <c r="B897" i="1"/>
  <c r="B960" i="1"/>
  <c r="B838" i="1"/>
  <c r="B13" i="1"/>
  <c r="B711" i="1"/>
  <c r="B840" i="1"/>
  <c r="B818" i="1"/>
  <c r="B335" i="1"/>
  <c r="B844" i="1"/>
  <c r="B848" i="1"/>
  <c r="B841" i="1"/>
  <c r="B854" i="1"/>
  <c r="B843" i="1"/>
  <c r="B508" i="1"/>
  <c r="B842" i="1"/>
  <c r="B845" i="1"/>
  <c r="B952" i="1"/>
  <c r="B859" i="1"/>
  <c r="B785" i="1"/>
  <c r="B846" i="1"/>
  <c r="B849" i="1"/>
  <c r="B48" i="1"/>
  <c r="B850" i="1"/>
  <c r="B853" i="1"/>
  <c r="B513" i="1"/>
  <c r="B566" i="1"/>
  <c r="B855" i="1"/>
  <c r="B867" i="1"/>
  <c r="B861" i="1"/>
  <c r="B868" i="1"/>
  <c r="B174" i="1"/>
  <c r="B862" i="1"/>
  <c r="B828" i="1"/>
  <c r="B866" i="1"/>
  <c r="B389" i="1"/>
  <c r="B632" i="1"/>
  <c r="B555" i="1"/>
  <c r="B879" i="1"/>
  <c r="B877" i="1"/>
  <c r="B878" i="1"/>
  <c r="B346" i="1"/>
  <c r="B459" i="1"/>
  <c r="B880" i="1"/>
  <c r="B964" i="1"/>
  <c r="B881" i="1"/>
  <c r="B707" i="1"/>
  <c r="B882" i="1"/>
  <c r="B893" i="1"/>
  <c r="B901" i="1"/>
  <c r="B646" i="1"/>
  <c r="B907" i="1"/>
  <c r="B998" i="1"/>
  <c r="B58" i="1"/>
  <c r="B138" i="1"/>
  <c r="B779" i="1"/>
  <c r="B600" i="1"/>
  <c r="B885" i="1"/>
  <c r="B235" i="1"/>
  <c r="B886" i="1"/>
  <c r="B418" i="1"/>
  <c r="B582" i="1"/>
  <c r="B911" i="1"/>
  <c r="B88" i="1"/>
  <c r="B888" i="1"/>
  <c r="B425" i="1"/>
  <c r="B642" i="1"/>
  <c r="B919" i="1"/>
  <c r="B896" i="1"/>
  <c r="B899" i="1"/>
  <c r="B900" i="1"/>
  <c r="B494" i="1"/>
  <c r="B920" i="1"/>
  <c r="B716" i="1"/>
  <c r="B268" i="1"/>
  <c r="B905" i="1"/>
  <c r="B857" i="1"/>
  <c r="B85" i="1"/>
  <c r="B796" i="1"/>
  <c r="B927" i="1"/>
  <c r="B929" i="1"/>
  <c r="B740" i="1"/>
  <c r="B290" i="1"/>
  <c r="B931" i="1"/>
  <c r="B811" i="1"/>
  <c r="B930" i="1"/>
  <c r="B939" i="1"/>
  <c r="B942" i="1"/>
  <c r="B943" i="1"/>
  <c r="B609" i="1"/>
  <c r="B349" i="1"/>
  <c r="B200" i="1"/>
  <c r="B944" i="1"/>
  <c r="B934" i="1"/>
  <c r="B577" i="1"/>
  <c r="B66" i="1"/>
  <c r="B312" i="1"/>
  <c r="B792" i="1"/>
  <c r="B972" i="1"/>
  <c r="B1000" i="1"/>
  <c r="B396" i="1"/>
  <c r="B536" i="1"/>
  <c r="B945" i="1"/>
  <c r="B713" i="1"/>
  <c r="B869" i="1"/>
  <c r="B532" i="1"/>
  <c r="B951" i="1"/>
  <c r="B953" i="1"/>
  <c r="B956" i="1"/>
  <c r="B541" i="1"/>
  <c r="B957" i="1"/>
  <c r="B245" i="1"/>
  <c r="B356" i="1"/>
  <c r="B469" i="1"/>
  <c r="B701" i="1"/>
  <c r="B961" i="1"/>
  <c r="B829" i="1"/>
  <c r="B963" i="1"/>
  <c r="B941" i="1"/>
  <c r="B362" i="1"/>
  <c r="B949" i="1"/>
  <c r="B965" i="1"/>
  <c r="B587" i="1"/>
  <c r="B337" i="1"/>
  <c r="B572" i="1"/>
  <c r="B10" i="1"/>
  <c r="B553" i="1"/>
  <c r="B966" i="1"/>
  <c r="B969" i="1"/>
  <c r="B702" i="1"/>
  <c r="B140" i="1"/>
  <c r="B970" i="1"/>
  <c r="B84" i="1"/>
  <c r="B154" i="1"/>
  <c r="B452" i="1"/>
  <c r="B100" i="1"/>
  <c r="B974" i="1"/>
  <c r="B980" i="1"/>
  <c r="B526" i="1"/>
  <c r="B940" i="1"/>
  <c r="B995" i="1"/>
  <c r="B976" i="1"/>
  <c r="B979" i="1"/>
  <c r="B983" i="1"/>
  <c r="B210" i="1"/>
  <c r="B436" i="1"/>
  <c r="B778" i="1"/>
  <c r="B984" i="1"/>
  <c r="B891" i="1"/>
  <c r="B985" i="1"/>
  <c r="B663" i="1"/>
  <c r="B310" i="1"/>
  <c r="B545" i="1"/>
  <c r="B986" i="1"/>
  <c r="B987" i="1"/>
  <c r="B679" i="1"/>
  <c r="B782" i="1"/>
  <c r="B988" i="1"/>
  <c r="B917" i="1"/>
  <c r="B758" i="1"/>
  <c r="B26" i="1"/>
  <c r="B83" i="1"/>
  <c r="B473" i="1"/>
  <c r="B989" i="1"/>
  <c r="B992" i="1"/>
  <c r="B996" i="1"/>
  <c r="B999" i="1"/>
  <c r="B387" i="1"/>
  <c r="B430" i="1"/>
  <c r="B997" i="1"/>
  <c r="B990" i="1"/>
  <c r="B234" i="1"/>
  <c r="B521" i="1"/>
  <c r="B806" i="1"/>
  <c r="B909" i="1"/>
  <c r="B858" i="1"/>
  <c r="B212" i="1"/>
  <c r="B651" i="1"/>
  <c r="B3" i="1"/>
  <c r="C523" i="1"/>
  <c r="C5" i="1"/>
  <c r="C8" i="1"/>
  <c r="C12" i="1"/>
  <c r="C11" i="1"/>
  <c r="C14" i="1"/>
  <c r="C611" i="1"/>
  <c r="C33" i="1"/>
  <c r="C17" i="1"/>
  <c r="C684" i="1"/>
  <c r="C368" i="1"/>
  <c r="C21" i="1"/>
  <c r="C433" i="1"/>
  <c r="C151" i="1"/>
  <c r="C15" i="1"/>
  <c r="C23" i="1"/>
  <c r="C922" i="1"/>
  <c r="C18" i="1"/>
  <c r="C908" i="1"/>
  <c r="C20" i="1"/>
  <c r="C185" i="1"/>
  <c r="C38" i="1"/>
  <c r="C226" i="1"/>
  <c r="C40" i="1"/>
  <c r="C43" i="1"/>
  <c r="C4" i="1"/>
  <c r="C465" i="1"/>
  <c r="C24" i="1"/>
  <c r="C592" i="1"/>
  <c r="C22" i="1"/>
  <c r="C709" i="1"/>
  <c r="C714" i="1"/>
  <c r="C45" i="1"/>
  <c r="C500" i="1"/>
  <c r="C25" i="1"/>
  <c r="C832" i="1"/>
  <c r="C16" i="1"/>
  <c r="C744" i="1"/>
  <c r="C35" i="1"/>
  <c r="C47" i="1"/>
  <c r="C239" i="1"/>
  <c r="C42" i="1"/>
  <c r="C59" i="1"/>
  <c r="C44" i="1"/>
  <c r="C62" i="1"/>
  <c r="C345" i="1"/>
  <c r="C449" i="1"/>
  <c r="C743" i="1"/>
  <c r="C446" i="1"/>
  <c r="C788" i="1"/>
  <c r="C50" i="1"/>
  <c r="C63" i="1"/>
  <c r="C520" i="1"/>
  <c r="C57" i="1"/>
  <c r="C593" i="1"/>
  <c r="C913" i="1"/>
  <c r="C135" i="1"/>
  <c r="C73" i="1"/>
  <c r="C324" i="1"/>
  <c r="C619" i="1"/>
  <c r="C721" i="1"/>
  <c r="C60" i="1"/>
  <c r="C65" i="1"/>
  <c r="C75" i="1"/>
  <c r="C71" i="1"/>
  <c r="C914" i="1"/>
  <c r="C77" i="1"/>
  <c r="C78" i="1"/>
  <c r="C190" i="1"/>
  <c r="C87" i="1"/>
  <c r="C323" i="1"/>
  <c r="C330" i="1"/>
  <c r="C106" i="1"/>
  <c r="C108" i="1"/>
  <c r="C79" i="1"/>
  <c r="C81" i="1"/>
  <c r="C321" i="1"/>
  <c r="C86" i="1"/>
  <c r="C143" i="1"/>
  <c r="C89" i="1"/>
  <c r="C667" i="1"/>
  <c r="C96" i="1"/>
  <c r="C115" i="1"/>
  <c r="C238" i="1"/>
  <c r="C336" i="1"/>
  <c r="C64" i="1"/>
  <c r="C97" i="1"/>
  <c r="C334" i="1"/>
  <c r="C102" i="1"/>
  <c r="C104" i="1"/>
  <c r="C117" i="1"/>
  <c r="C741" i="1"/>
  <c r="C794" i="1"/>
  <c r="C107" i="1"/>
  <c r="C233" i="1"/>
  <c r="C118" i="1"/>
  <c r="C994" i="1"/>
  <c r="C130" i="1"/>
  <c r="C132" i="1"/>
  <c r="C597" i="1"/>
  <c r="C937" i="1"/>
  <c r="C111" i="1"/>
  <c r="C435" i="1"/>
  <c r="C776" i="1"/>
  <c r="C978" i="1"/>
  <c r="C113" i="1"/>
  <c r="C55" i="1"/>
  <c r="C69" i="1"/>
  <c r="C193" i="1"/>
  <c r="C332" i="1"/>
  <c r="C116" i="1"/>
  <c r="C134" i="1"/>
  <c r="C733" i="1"/>
  <c r="C973" i="1"/>
  <c r="C120" i="1"/>
  <c r="C194" i="1"/>
  <c r="C136" i="1"/>
  <c r="C125" i="1"/>
  <c r="C946" i="1"/>
  <c r="C126" i="1"/>
  <c r="C822" i="1"/>
  <c r="C142" i="1"/>
  <c r="C127" i="1"/>
  <c r="C128" i="1"/>
  <c r="C148" i="1"/>
  <c r="C417" i="1"/>
  <c r="C585" i="1"/>
  <c r="C131" i="1"/>
  <c r="C149" i="1"/>
  <c r="C139" i="1"/>
  <c r="C150" i="1"/>
  <c r="C269" i="1"/>
  <c r="C144" i="1"/>
  <c r="C967" i="1"/>
  <c r="C146" i="1"/>
  <c r="C170" i="1"/>
  <c r="C147" i="1"/>
  <c r="C9" i="1"/>
  <c r="C182" i="1"/>
  <c r="C455" i="1"/>
  <c r="C781" i="1"/>
  <c r="C921" i="1"/>
  <c r="C397" i="1"/>
  <c r="C186" i="1"/>
  <c r="C152" i="1"/>
  <c r="C612" i="1"/>
  <c r="C157" i="1"/>
  <c r="C273" i="1"/>
  <c r="C474" i="1"/>
  <c r="C507" i="1"/>
  <c r="C767" i="1"/>
  <c r="C160" i="1"/>
  <c r="C161" i="1"/>
  <c r="C159" i="1"/>
  <c r="C163" i="1"/>
  <c r="C434" i="1"/>
  <c r="C153" i="1"/>
  <c r="C164" i="1"/>
  <c r="C166" i="1"/>
  <c r="C933" i="1"/>
  <c r="C400" i="1"/>
  <c r="C501" i="1"/>
  <c r="C187" i="1"/>
  <c r="C948" i="1"/>
  <c r="C221" i="1"/>
  <c r="C213" i="1"/>
  <c r="C786" i="1"/>
  <c r="C167" i="1"/>
  <c r="C889" i="1"/>
  <c r="C622" i="1"/>
  <c r="C53" i="1"/>
  <c r="C537" i="1"/>
  <c r="C168" i="1"/>
  <c r="C169" i="1"/>
  <c r="C215" i="1"/>
  <c r="C918" i="1"/>
  <c r="C199" i="1"/>
  <c r="C171" i="1"/>
  <c r="C172" i="1"/>
  <c r="C706" i="1"/>
  <c r="C179" i="1"/>
  <c r="C181" i="1"/>
  <c r="C232" i="1"/>
  <c r="C236" i="1"/>
  <c r="C398" i="1"/>
  <c r="C188" i="1"/>
  <c r="C189" i="1"/>
  <c r="C195" i="1"/>
  <c r="C196" i="1"/>
  <c r="C197" i="1"/>
  <c r="C198" i="1"/>
  <c r="C203" i="1"/>
  <c r="C241" i="1"/>
  <c r="C204" i="1"/>
  <c r="C206" i="1"/>
  <c r="C207" i="1"/>
  <c r="C242" i="1"/>
  <c r="C216" i="1"/>
  <c r="C660" i="1"/>
  <c r="C223" i="1"/>
  <c r="C137" i="1"/>
  <c r="C176" i="1"/>
  <c r="C224" i="1"/>
  <c r="C225" i="1"/>
  <c r="C807" i="1"/>
  <c r="C39" i="1"/>
  <c r="C314" i="1"/>
  <c r="C227" i="1"/>
  <c r="C243" i="1"/>
  <c r="C162" i="1"/>
  <c r="C329" i="1"/>
  <c r="C384" i="1"/>
  <c r="C237" i="1"/>
  <c r="C250" i="1"/>
  <c r="C34" i="1"/>
  <c r="C246" i="1"/>
  <c r="C249" i="1"/>
  <c r="C257" i="1"/>
  <c r="C178" i="1"/>
  <c r="C258" i="1"/>
  <c r="C262" i="1"/>
  <c r="C92" i="1"/>
  <c r="C264" i="1"/>
  <c r="C267" i="1"/>
  <c r="C254" i="1"/>
  <c r="C256" i="1"/>
  <c r="C704" i="1"/>
  <c r="C274" i="1"/>
  <c r="C761" i="1"/>
  <c r="C259" i="1"/>
  <c r="C260" i="1"/>
  <c r="C275" i="1"/>
  <c r="C265" i="1"/>
  <c r="C463" i="1"/>
  <c r="C615" i="1"/>
  <c r="C809" i="1"/>
  <c r="C266" i="1"/>
  <c r="C466" i="1"/>
  <c r="C503" i="1"/>
  <c r="C906" i="1"/>
  <c r="C270" i="1"/>
  <c r="C277" i="1"/>
  <c r="C835" i="1"/>
  <c r="C892" i="1"/>
  <c r="C276" i="1"/>
  <c r="C333" i="1"/>
  <c r="C278" i="1"/>
  <c r="C279" i="1"/>
  <c r="C280" i="1"/>
  <c r="C281" i="1"/>
  <c r="C284" i="1"/>
  <c r="C293" i="1"/>
  <c r="C285" i="1"/>
  <c r="C487" i="1"/>
  <c r="C288" i="1"/>
  <c r="C887" i="1"/>
  <c r="C295" i="1"/>
  <c r="C289" i="1"/>
  <c r="C902" i="1"/>
  <c r="C292" i="1"/>
  <c r="C297" i="1"/>
  <c r="C175" i="1"/>
  <c r="C590" i="1"/>
  <c r="C301" i="1"/>
  <c r="C1001" i="1"/>
  <c r="C211" i="1"/>
  <c r="C302" i="1"/>
  <c r="C746" i="1"/>
  <c r="C355" i="1"/>
  <c r="C409" i="1"/>
  <c r="C313" i="1"/>
  <c r="C968" i="1"/>
  <c r="C80" i="1"/>
  <c r="C304" i="1"/>
  <c r="C451" i="1"/>
  <c r="C563" i="1"/>
  <c r="C109" i="1"/>
  <c r="C112" i="1"/>
  <c r="C208" i="1"/>
  <c r="C315" i="1"/>
  <c r="C316" i="1"/>
  <c r="C317" i="1"/>
  <c r="C247" i="1"/>
  <c r="C299" i="1"/>
  <c r="C375" i="1"/>
  <c r="C319" i="1"/>
  <c r="C320" i="1"/>
  <c r="C306" i="1"/>
  <c r="C894" i="1"/>
  <c r="C338" i="1"/>
  <c r="C341" i="1"/>
  <c r="C342" i="1"/>
  <c r="C29" i="1"/>
  <c r="C99" i="1"/>
  <c r="C318" i="1"/>
  <c r="C231" i="1"/>
  <c r="C343" i="1"/>
  <c r="C347" i="1"/>
  <c r="C694" i="1"/>
  <c r="C352" i="1"/>
  <c r="C864" i="1"/>
  <c r="C7" i="1"/>
  <c r="C360" i="1"/>
  <c r="C361" i="1"/>
  <c r="C363" i="1"/>
  <c r="C589" i="1"/>
  <c r="C954" i="1"/>
  <c r="C67" i="1"/>
  <c r="C366" i="1"/>
  <c r="C904" i="1"/>
  <c r="C103" i="1"/>
  <c r="C229" i="1"/>
  <c r="C367" i="1"/>
  <c r="C661" i="1"/>
  <c r="C369" i="1"/>
  <c r="C376" i="1"/>
  <c r="C19" i="1"/>
  <c r="C70" i="1"/>
  <c r="C378" i="1"/>
  <c r="C380" i="1"/>
  <c r="C382" i="1"/>
  <c r="C653" i="1"/>
  <c r="C383" i="1"/>
  <c r="C294" i="1"/>
  <c r="C461" i="1"/>
  <c r="C385" i="1"/>
  <c r="C358" i="1"/>
  <c r="C327" i="1"/>
  <c r="C750" i="1"/>
  <c r="C975" i="1"/>
  <c r="C191" i="1"/>
  <c r="C393" i="1"/>
  <c r="C340" i="1"/>
  <c r="C253" i="1"/>
  <c r="C344" i="1"/>
  <c r="C780" i="1"/>
  <c r="C395" i="1"/>
  <c r="C365" i="1"/>
  <c r="C6" i="1"/>
  <c r="C91" i="1"/>
  <c r="C381" i="1"/>
  <c r="C594" i="1"/>
  <c r="C821" i="1"/>
  <c r="C121" i="1"/>
  <c r="C222" i="1"/>
  <c r="C399" i="1"/>
  <c r="C641" i="1"/>
  <c r="C745" i="1"/>
  <c r="C370" i="1"/>
  <c r="C371" i="1"/>
  <c r="C401" i="1"/>
  <c r="C372" i="1"/>
  <c r="C621" i="1"/>
  <c r="C947" i="1"/>
  <c r="C402" i="1"/>
  <c r="C415" i="1"/>
  <c r="C884" i="1"/>
  <c r="C403" i="1"/>
  <c r="C404" i="1"/>
  <c r="C406" i="1"/>
  <c r="C411" i="1"/>
  <c r="C640" i="1"/>
  <c r="C839" i="1"/>
  <c r="C354" i="1"/>
  <c r="C502" i="1"/>
  <c r="C416" i="1"/>
  <c r="C124" i="1"/>
  <c r="C165" i="1"/>
  <c r="C426" i="1"/>
  <c r="C49" i="1"/>
  <c r="C119" i="1"/>
  <c r="C420" i="1"/>
  <c r="C373" i="1"/>
  <c r="C359" i="1"/>
  <c r="C377" i="1"/>
  <c r="C390" i="1"/>
  <c r="C412" i="1"/>
  <c r="C505" i="1"/>
  <c r="C971" i="1"/>
  <c r="C422" i="1"/>
  <c r="C82" i="1"/>
  <c r="C156" i="1"/>
  <c r="C423" i="1"/>
  <c r="C424" i="1"/>
  <c r="C819" i="1"/>
  <c r="C95" i="1"/>
  <c r="C812" i="1"/>
  <c r="C392" i="1"/>
  <c r="C437" i="1"/>
  <c r="C439" i="1"/>
  <c r="C695" i="1"/>
  <c r="C440" i="1"/>
  <c r="C441" i="1"/>
  <c r="C912" i="1"/>
  <c r="C443" i="1"/>
  <c r="C444" i="1"/>
  <c r="C394" i="1"/>
  <c r="C445" i="1"/>
  <c r="C32" i="1"/>
  <c r="C407" i="1"/>
  <c r="C410" i="1"/>
  <c r="C244" i="1"/>
  <c r="C282" i="1"/>
  <c r="C490" i="1"/>
  <c r="C492" i="1"/>
  <c r="C453" i="1"/>
  <c r="C823" i="1"/>
  <c r="C454" i="1"/>
  <c r="C405" i="1"/>
  <c r="C460" i="1"/>
  <c r="C991" i="1"/>
  <c r="C471" i="1"/>
  <c r="C472" i="1"/>
  <c r="C924" i="1"/>
  <c r="C308" i="1"/>
  <c r="C475" i="1"/>
  <c r="C476" i="1"/>
  <c r="C477" i="1"/>
  <c r="C68" i="1"/>
  <c r="C916" i="1"/>
  <c r="C413" i="1"/>
  <c r="C478" i="1"/>
  <c r="C479" i="1"/>
  <c r="C863" i="1"/>
  <c r="C483" i="1"/>
  <c r="C484" i="1"/>
  <c r="C903" i="1"/>
  <c r="C421" i="1"/>
  <c r="C686" i="1"/>
  <c r="C959" i="1"/>
  <c r="C364" i="1"/>
  <c r="C488" i="1"/>
  <c r="C427" i="1"/>
  <c r="C388" i="1"/>
  <c r="C447" i="1"/>
  <c r="C491" i="1"/>
  <c r="C448" i="1"/>
  <c r="C561" i="1"/>
  <c r="C498" i="1"/>
  <c r="C482" i="1"/>
  <c r="C462" i="1"/>
  <c r="C883" i="1"/>
  <c r="C962" i="1"/>
  <c r="C499" i="1"/>
  <c r="C470" i="1"/>
  <c r="C540" i="1"/>
  <c r="C588" i="1"/>
  <c r="C516" i="1"/>
  <c r="C518" i="1"/>
  <c r="C770" i="1"/>
  <c r="C322" i="1"/>
  <c r="C357" i="1"/>
  <c r="C511" i="1"/>
  <c r="C519" i="1"/>
  <c r="C105" i="1"/>
  <c r="C522" i="1"/>
  <c r="C353" i="1"/>
  <c r="C527" i="1"/>
  <c r="C528" i="1"/>
  <c r="C630" i="1"/>
  <c r="C529" i="1"/>
  <c r="C530" i="1"/>
  <c r="C183" i="1"/>
  <c r="C820" i="1"/>
  <c r="C101" i="1"/>
  <c r="C834" i="1"/>
  <c r="C485" i="1"/>
  <c r="C724" i="1"/>
  <c r="C533" i="1"/>
  <c r="C489" i="1"/>
  <c r="C240" i="1"/>
  <c r="C535" i="1"/>
  <c r="C486" i="1"/>
  <c r="C496" i="1"/>
  <c r="C546" i="1"/>
  <c r="C548" i="1"/>
  <c r="C467" i="1"/>
  <c r="C497" i="1"/>
  <c r="C549" i="1"/>
  <c r="C41" i="1"/>
  <c r="C551" i="1"/>
  <c r="C728" i="1"/>
  <c r="C506" i="1"/>
  <c r="C559" i="1"/>
  <c r="C272" i="1"/>
  <c r="C37" i="1"/>
  <c r="C158" i="1"/>
  <c r="C797" i="1"/>
  <c r="C514" i="1"/>
  <c r="C928" i="1"/>
  <c r="C408" i="1"/>
  <c r="C515" i="1"/>
  <c r="C510" i="1"/>
  <c r="C875" i="1"/>
  <c r="C789" i="1"/>
  <c r="C379" i="1"/>
  <c r="C481" i="1"/>
  <c r="C493" i="1"/>
  <c r="C560" i="1"/>
  <c r="C562" i="1"/>
  <c r="C531" i="1"/>
  <c r="C567" i="1"/>
  <c r="C261" i="1"/>
  <c r="C456" i="1"/>
  <c r="C534" i="1"/>
  <c r="C46" i="1"/>
  <c r="C450" i="1"/>
  <c r="C568" i="1"/>
  <c r="C571" i="1"/>
  <c r="C129" i="1"/>
  <c r="C573" i="1"/>
  <c r="C803" i="1"/>
  <c r="C76" i="1"/>
  <c r="C538" i="1"/>
  <c r="C576" i="1"/>
  <c r="C760" i="1"/>
  <c r="C871" i="1"/>
  <c r="C579" i="1"/>
  <c r="C581" i="1"/>
  <c r="C583" i="1"/>
  <c r="C539" i="1"/>
  <c r="C177" i="1"/>
  <c r="C217" i="1"/>
  <c r="C773" i="1"/>
  <c r="C54" i="1"/>
  <c r="C543" i="1"/>
  <c r="C72" i="1"/>
  <c r="C94" i="1"/>
  <c r="C303" i="1"/>
  <c r="C552" i="1"/>
  <c r="C682" i="1"/>
  <c r="C554" i="1"/>
  <c r="C729" i="1"/>
  <c r="C830" i="1"/>
  <c r="C591" i="1"/>
  <c r="C145" i="1"/>
  <c r="C557" i="1"/>
  <c r="C558" i="1"/>
  <c r="C604" i="1"/>
  <c r="C608" i="1"/>
  <c r="C610" i="1"/>
  <c r="C305" i="1"/>
  <c r="C677" i="1"/>
  <c r="C687" i="1"/>
  <c r="C699" i="1"/>
  <c r="C564" i="1"/>
  <c r="C578" i="1"/>
  <c r="C614" i="1"/>
  <c r="C774" i="1"/>
  <c r="C616" i="1"/>
  <c r="C214" i="1"/>
  <c r="C617" i="1"/>
  <c r="C584" i="1"/>
  <c r="C606" i="1"/>
  <c r="C586" i="1"/>
  <c r="C300" i="1"/>
  <c r="C935" i="1"/>
  <c r="C271" i="1"/>
  <c r="C339" i="1"/>
  <c r="C544" i="1"/>
  <c r="C595" i="1"/>
  <c r="C624" i="1"/>
  <c r="C865" i="1"/>
  <c r="C255" i="1"/>
  <c r="C296" i="1"/>
  <c r="C458" i="1"/>
  <c r="C669" i="1"/>
  <c r="C851" i="1"/>
  <c r="C542" i="1"/>
  <c r="C981" i="1"/>
  <c r="C263" i="1"/>
  <c r="C468" i="1"/>
  <c r="C464" i="1"/>
  <c r="C599" i="1"/>
  <c r="C668" i="1"/>
  <c r="C673" i="1"/>
  <c r="C950" i="1"/>
  <c r="C28" i="1"/>
  <c r="C348" i="1"/>
  <c r="C688" i="1"/>
  <c r="C550" i="1"/>
  <c r="C626" i="1"/>
  <c r="C627" i="1"/>
  <c r="C628" i="1"/>
  <c r="C596" i="1"/>
  <c r="C36" i="1"/>
  <c r="C141" i="1"/>
  <c r="C631" i="1"/>
  <c r="C638" i="1"/>
  <c r="C643" i="1"/>
  <c r="C309" i="1"/>
  <c r="C419" i="1"/>
  <c r="C613" i="1"/>
  <c r="C876" i="1"/>
  <c r="C431" i="1"/>
  <c r="C634" i="1"/>
  <c r="C647" i="1"/>
  <c r="C648" i="1"/>
  <c r="C650" i="1"/>
  <c r="C652" i="1"/>
  <c r="C654" i="1"/>
  <c r="C655" i="1"/>
  <c r="C656" i="1"/>
  <c r="C658" i="1"/>
  <c r="C659" i="1"/>
  <c r="C662" i="1"/>
  <c r="C509" i="1"/>
  <c r="C808" i="1"/>
  <c r="C512" i="1"/>
  <c r="C598" i="1"/>
  <c r="C602" i="1"/>
  <c r="C817" i="1"/>
  <c r="C218" i="1"/>
  <c r="C665" i="1"/>
  <c r="C649" i="1"/>
  <c r="C603" i="1"/>
  <c r="C286" i="1"/>
  <c r="C428" i="1"/>
  <c r="C570" i="1"/>
  <c r="C666" i="1"/>
  <c r="C674" i="1"/>
  <c r="C958" i="1"/>
  <c r="C636" i="1"/>
  <c r="C30" i="1"/>
  <c r="C675" i="1"/>
  <c r="C860" i="1"/>
  <c r="C639" i="1"/>
  <c r="C824" i="1"/>
  <c r="C676" i="1"/>
  <c r="C982" i="1"/>
  <c r="C220" i="1"/>
  <c r="C74" i="1"/>
  <c r="C681" i="1"/>
  <c r="C307" i="1"/>
  <c r="C726" i="1"/>
  <c r="C607" i="1"/>
  <c r="C993" i="1"/>
  <c r="C629" i="1"/>
  <c r="C623" i="1"/>
  <c r="C685" i="1"/>
  <c r="C637" i="1"/>
  <c r="C689" i="1"/>
  <c r="C51" i="1"/>
  <c r="C480" i="1"/>
  <c r="C805" i="1"/>
  <c r="C93" i="1"/>
  <c r="C283" i="1"/>
  <c r="C719" i="1"/>
  <c r="C618" i="1"/>
  <c r="C625" i="1"/>
  <c r="C826" i="1"/>
  <c r="C569" i="1"/>
  <c r="C672" i="1"/>
  <c r="C757" i="1"/>
  <c r="C691" i="1"/>
  <c r="C692" i="1"/>
  <c r="C645" i="1"/>
  <c r="C693" i="1"/>
  <c r="C697" i="1"/>
  <c r="C734" i="1"/>
  <c r="C925" i="1"/>
  <c r="C698" i="1"/>
  <c r="C252" i="1"/>
  <c r="C700" i="1"/>
  <c r="C575" i="1"/>
  <c r="C703" i="1"/>
  <c r="C872" i="1"/>
  <c r="C201" i="1"/>
  <c r="C664" i="1"/>
  <c r="C705" i="1"/>
  <c r="C856" i="1"/>
  <c r="C326" i="1"/>
  <c r="C683" i="1"/>
  <c r="C932" i="1"/>
  <c r="C926" i="1"/>
  <c r="C298" i="1"/>
  <c r="C708" i="1"/>
  <c r="C895" i="1"/>
  <c r="C670" i="1"/>
  <c r="C717" i="1"/>
  <c r="C718" i="1"/>
  <c r="C678" i="1"/>
  <c r="C720" i="1"/>
  <c r="C722" i="1"/>
  <c r="C725" i="1"/>
  <c r="C727" i="1"/>
  <c r="C184" i="1"/>
  <c r="C414" i="1"/>
  <c r="C800" i="1"/>
  <c r="C852" i="1"/>
  <c r="C680" i="1"/>
  <c r="C696" i="1"/>
  <c r="C936" i="1"/>
  <c r="C133" i="1"/>
  <c r="C605" i="1"/>
  <c r="C833" i="1"/>
  <c r="C114" i="1"/>
  <c r="C730" i="1"/>
  <c r="C731" i="1"/>
  <c r="C732" i="1"/>
  <c r="C710" i="1"/>
  <c r="C633" i="1"/>
  <c r="C735" i="1"/>
  <c r="C173" i="1"/>
  <c r="C736" i="1"/>
  <c r="C737" i="1"/>
  <c r="C795" i="1"/>
  <c r="C715" i="1"/>
  <c r="C331" i="1"/>
  <c r="C495" i="1"/>
  <c r="C723" i="1"/>
  <c r="C574" i="1"/>
  <c r="C748" i="1"/>
  <c r="C580" i="1"/>
  <c r="C219" i="1"/>
  <c r="C847" i="1"/>
  <c r="C738" i="1"/>
  <c r="C524" i="1"/>
  <c r="C644" i="1"/>
  <c r="C739" i="1"/>
  <c r="C810" i="1"/>
  <c r="C955" i="1"/>
  <c r="C898" i="1"/>
  <c r="C763" i="1"/>
  <c r="C205" i="1"/>
  <c r="C391" i="1"/>
  <c r="C180" i="1"/>
  <c r="C328" i="1"/>
  <c r="C742" i="1"/>
  <c r="C874" i="1"/>
  <c r="C747" i="1"/>
  <c r="C749" i="1"/>
  <c r="C90" i="1"/>
  <c r="C751" i="1"/>
  <c r="C910" i="1"/>
  <c r="C52" i="1"/>
  <c r="C155" i="1"/>
  <c r="C769" i="1"/>
  <c r="C752" i="1"/>
  <c r="C890" i="1"/>
  <c r="C123" i="1"/>
  <c r="C374" i="1"/>
  <c r="C525" i="1"/>
  <c r="C753" i="1"/>
  <c r="C814" i="1"/>
  <c r="C754" i="1"/>
  <c r="C209" i="1"/>
  <c r="C248" i="1"/>
  <c r="C291" i="1"/>
  <c r="C657" i="1"/>
  <c r="C756" i="1"/>
  <c r="C759" i="1"/>
  <c r="C671" i="1"/>
  <c r="C386" i="1"/>
  <c r="C762" i="1"/>
  <c r="C27" i="1"/>
  <c r="C438" i="1"/>
  <c r="C690" i="1"/>
  <c r="C764" i="1"/>
  <c r="C635" i="1"/>
  <c r="C202" i="1"/>
  <c r="C287" i="1"/>
  <c r="C765" i="1"/>
  <c r="C56" i="1"/>
  <c r="C429" i="1"/>
  <c r="C442" i="1"/>
  <c r="C977" i="1"/>
  <c r="C766" i="1"/>
  <c r="C228" i="1"/>
  <c r="C772" i="1"/>
  <c r="C771" i="1"/>
  <c r="C547" i="1"/>
  <c r="C873" i="1"/>
  <c r="C915" i="1"/>
  <c r="C311" i="1"/>
  <c r="C775" i="1"/>
  <c r="C777" i="1"/>
  <c r="C98" i="1"/>
  <c r="C620" i="1"/>
  <c r="C793" i="1"/>
  <c r="C457" i="1"/>
  <c r="C783" i="1"/>
  <c r="C784" i="1"/>
  <c r="C122" i="1"/>
  <c r="C432" i="1"/>
  <c r="C802" i="1"/>
  <c r="C712" i="1"/>
  <c r="C755" i="1"/>
  <c r="C787" i="1"/>
  <c r="C351" i="1"/>
  <c r="C790" i="1"/>
  <c r="C110" i="1"/>
  <c r="C192" i="1"/>
  <c r="C791" i="1"/>
  <c r="C556" i="1"/>
  <c r="C798" i="1"/>
  <c r="C799" i="1"/>
  <c r="C801" i="1"/>
  <c r="C923" i="1"/>
  <c r="C601" i="1"/>
  <c r="C813" i="1"/>
  <c r="C804" i="1"/>
  <c r="C61" i="1"/>
  <c r="C251" i="1"/>
  <c r="C517" i="1"/>
  <c r="C938" i="1"/>
  <c r="C815" i="1"/>
  <c r="C816" i="1"/>
  <c r="C565" i="1"/>
  <c r="C768" i="1"/>
  <c r="C504" i="1"/>
  <c r="C870" i="1"/>
  <c r="C825" i="1"/>
  <c r="C350" i="1"/>
  <c r="C827" i="1"/>
  <c r="C831" i="1"/>
  <c r="C325" i="1"/>
  <c r="C837" i="1"/>
  <c r="C31" i="1"/>
  <c r="C836" i="1"/>
  <c r="C230" i="1"/>
  <c r="C897" i="1"/>
  <c r="C960" i="1"/>
  <c r="C838" i="1"/>
  <c r="C13" i="1"/>
  <c r="C711" i="1"/>
  <c r="C840" i="1"/>
  <c r="C818" i="1"/>
  <c r="C335" i="1"/>
  <c r="C844" i="1"/>
  <c r="C848" i="1"/>
  <c r="C841" i="1"/>
  <c r="C854" i="1"/>
  <c r="C843" i="1"/>
  <c r="C508" i="1"/>
  <c r="C842" i="1"/>
  <c r="C845" i="1"/>
  <c r="C952" i="1"/>
  <c r="C859" i="1"/>
  <c r="C785" i="1"/>
  <c r="C846" i="1"/>
  <c r="C849" i="1"/>
  <c r="C48" i="1"/>
  <c r="C850" i="1"/>
  <c r="C853" i="1"/>
  <c r="C513" i="1"/>
  <c r="C566" i="1"/>
  <c r="C855" i="1"/>
  <c r="C867" i="1"/>
  <c r="C861" i="1"/>
  <c r="C868" i="1"/>
  <c r="C174" i="1"/>
  <c r="C862" i="1"/>
  <c r="C828" i="1"/>
  <c r="C866" i="1"/>
  <c r="C389" i="1"/>
  <c r="C632" i="1"/>
  <c r="C555" i="1"/>
  <c r="C879" i="1"/>
  <c r="C877" i="1"/>
  <c r="C878" i="1"/>
  <c r="C346" i="1"/>
  <c r="C459" i="1"/>
  <c r="C880" i="1"/>
  <c r="C964" i="1"/>
  <c r="C881" i="1"/>
  <c r="C707" i="1"/>
  <c r="C882" i="1"/>
  <c r="C893" i="1"/>
  <c r="C901" i="1"/>
  <c r="C646" i="1"/>
  <c r="C907" i="1"/>
  <c r="C998" i="1"/>
  <c r="C58" i="1"/>
  <c r="C138" i="1"/>
  <c r="C779" i="1"/>
  <c r="C600" i="1"/>
  <c r="C885" i="1"/>
  <c r="C235" i="1"/>
  <c r="C886" i="1"/>
  <c r="C418" i="1"/>
  <c r="C582" i="1"/>
  <c r="C911" i="1"/>
  <c r="C88" i="1"/>
  <c r="C888" i="1"/>
  <c r="C425" i="1"/>
  <c r="C642" i="1"/>
  <c r="C919" i="1"/>
  <c r="C2" i="1"/>
  <c r="C896" i="1"/>
  <c r="C899" i="1"/>
  <c r="C900" i="1"/>
  <c r="C494" i="1"/>
  <c r="C920" i="1"/>
  <c r="C716" i="1"/>
  <c r="C268" i="1"/>
  <c r="C905" i="1"/>
  <c r="C857" i="1"/>
  <c r="C85" i="1"/>
  <c r="C796" i="1"/>
  <c r="C927" i="1"/>
  <c r="C929" i="1"/>
  <c r="C740" i="1"/>
  <c r="C290" i="1"/>
  <c r="C931" i="1"/>
  <c r="C811" i="1"/>
  <c r="C930" i="1"/>
  <c r="C939" i="1"/>
  <c r="C942" i="1"/>
  <c r="C943" i="1"/>
  <c r="C609" i="1"/>
  <c r="C349" i="1"/>
  <c r="C200" i="1"/>
  <c r="C944" i="1"/>
  <c r="C934" i="1"/>
  <c r="C577" i="1"/>
  <c r="C66" i="1"/>
  <c r="C312" i="1"/>
  <c r="C792" i="1"/>
  <c r="C972" i="1"/>
  <c r="C1000" i="1"/>
  <c r="C396" i="1"/>
  <c r="C536" i="1"/>
  <c r="C945" i="1"/>
  <c r="C713" i="1"/>
  <c r="C869" i="1"/>
  <c r="C532" i="1"/>
  <c r="C951" i="1"/>
  <c r="C953" i="1"/>
  <c r="C956" i="1"/>
  <c r="C541" i="1"/>
  <c r="C957" i="1"/>
  <c r="C245" i="1"/>
  <c r="C356" i="1"/>
  <c r="C469" i="1"/>
  <c r="C701" i="1"/>
  <c r="C961" i="1"/>
  <c r="C829" i="1"/>
  <c r="C963" i="1"/>
  <c r="C941" i="1"/>
  <c r="C362" i="1"/>
  <c r="C949" i="1"/>
  <c r="C965" i="1"/>
  <c r="C587" i="1"/>
  <c r="C337" i="1"/>
  <c r="C572" i="1"/>
  <c r="C10" i="1"/>
  <c r="C553" i="1"/>
  <c r="C966" i="1"/>
  <c r="C969" i="1"/>
  <c r="C702" i="1"/>
  <c r="C140" i="1"/>
  <c r="C970" i="1"/>
  <c r="C84" i="1"/>
  <c r="C154" i="1"/>
  <c r="C452" i="1"/>
  <c r="C100" i="1"/>
  <c r="C974" i="1"/>
  <c r="C980" i="1"/>
  <c r="C526" i="1"/>
  <c r="C940" i="1"/>
  <c r="C995" i="1"/>
  <c r="C976" i="1"/>
  <c r="C979" i="1"/>
  <c r="C983" i="1"/>
  <c r="C210" i="1"/>
  <c r="C436" i="1"/>
  <c r="C778" i="1"/>
  <c r="C984" i="1"/>
  <c r="C891" i="1"/>
  <c r="C985" i="1"/>
  <c r="C663" i="1"/>
  <c r="C310" i="1"/>
  <c r="C545" i="1"/>
  <c r="C986" i="1"/>
  <c r="C987" i="1"/>
  <c r="C679" i="1"/>
  <c r="C782" i="1"/>
  <c r="C988" i="1"/>
  <c r="C917" i="1"/>
  <c r="C758" i="1"/>
  <c r="C26" i="1"/>
  <c r="C83" i="1"/>
  <c r="C473" i="1"/>
  <c r="C989" i="1"/>
  <c r="C992" i="1"/>
  <c r="C996" i="1"/>
  <c r="C999" i="1"/>
  <c r="C387" i="1"/>
  <c r="C430" i="1"/>
  <c r="C997" i="1"/>
  <c r="C990" i="1"/>
  <c r="C234" i="1"/>
  <c r="C521" i="1"/>
  <c r="C806" i="1"/>
  <c r="C909" i="1"/>
  <c r="C858" i="1"/>
  <c r="C212" i="1"/>
  <c r="C651" i="1"/>
  <c r="C3" i="1"/>
  <c r="D523" i="1"/>
  <c r="D5" i="1"/>
  <c r="D8" i="1"/>
  <c r="D12" i="1"/>
  <c r="D11" i="1"/>
  <c r="D14" i="1"/>
  <c r="D611" i="1"/>
  <c r="D33" i="1"/>
  <c r="D17" i="1"/>
  <c r="D684" i="1"/>
  <c r="D368" i="1"/>
  <c r="D21" i="1"/>
  <c r="D433" i="1"/>
  <c r="D151" i="1"/>
  <c r="D15" i="1"/>
  <c r="D23" i="1"/>
  <c r="D922" i="1"/>
  <c r="D18" i="1"/>
  <c r="D908" i="1"/>
  <c r="D20" i="1"/>
  <c r="D185" i="1"/>
  <c r="D38" i="1"/>
  <c r="D226" i="1"/>
  <c r="D40" i="1"/>
  <c r="D43" i="1"/>
  <c r="D4" i="1"/>
  <c r="D465" i="1"/>
  <c r="D24" i="1"/>
  <c r="D592" i="1"/>
  <c r="D22" i="1"/>
  <c r="D709" i="1"/>
  <c r="D714" i="1"/>
  <c r="D45" i="1"/>
  <c r="D500" i="1"/>
  <c r="D25" i="1"/>
  <c r="D832" i="1"/>
  <c r="D16" i="1"/>
  <c r="D744" i="1"/>
  <c r="D35" i="1"/>
  <c r="D47" i="1"/>
  <c r="D239" i="1"/>
  <c r="D42" i="1"/>
  <c r="D59" i="1"/>
  <c r="D44" i="1"/>
  <c r="D62" i="1"/>
  <c r="D345" i="1"/>
  <c r="D449" i="1"/>
  <c r="D743" i="1"/>
  <c r="D446" i="1"/>
  <c r="D788" i="1"/>
  <c r="D50" i="1"/>
  <c r="D63" i="1"/>
  <c r="D520" i="1"/>
  <c r="D57" i="1"/>
  <c r="D593" i="1"/>
  <c r="D913" i="1"/>
  <c r="D135" i="1"/>
  <c r="D73" i="1"/>
  <c r="D324" i="1"/>
  <c r="D619" i="1"/>
  <c r="D721" i="1"/>
  <c r="D60" i="1"/>
  <c r="D65" i="1"/>
  <c r="D75" i="1"/>
  <c r="D71" i="1"/>
  <c r="D914" i="1"/>
  <c r="D77" i="1"/>
  <c r="D78" i="1"/>
  <c r="D190" i="1"/>
  <c r="D87" i="1"/>
  <c r="D323" i="1"/>
  <c r="D330" i="1"/>
  <c r="D106" i="1"/>
  <c r="D108" i="1"/>
  <c r="D79" i="1"/>
  <c r="D81" i="1"/>
  <c r="D321" i="1"/>
  <c r="D86" i="1"/>
  <c r="D143" i="1"/>
  <c r="D89" i="1"/>
  <c r="D667" i="1"/>
  <c r="D96" i="1"/>
  <c r="D115" i="1"/>
  <c r="D238" i="1"/>
  <c r="D336" i="1"/>
  <c r="D64" i="1"/>
  <c r="D97" i="1"/>
  <c r="D334" i="1"/>
  <c r="D102" i="1"/>
  <c r="D104" i="1"/>
  <c r="D117" i="1"/>
  <c r="D741" i="1"/>
  <c r="D794" i="1"/>
  <c r="D107" i="1"/>
  <c r="D233" i="1"/>
  <c r="D118" i="1"/>
  <c r="D994" i="1"/>
  <c r="D130" i="1"/>
  <c r="D132" i="1"/>
  <c r="D597" i="1"/>
  <c r="D937" i="1"/>
  <c r="D111" i="1"/>
  <c r="D435" i="1"/>
  <c r="D776" i="1"/>
  <c r="D978" i="1"/>
  <c r="D113" i="1"/>
  <c r="D55" i="1"/>
  <c r="D69" i="1"/>
  <c r="D193" i="1"/>
  <c r="D332" i="1"/>
  <c r="D116" i="1"/>
  <c r="D134" i="1"/>
  <c r="D733" i="1"/>
  <c r="D973" i="1"/>
  <c r="D120" i="1"/>
  <c r="D194" i="1"/>
  <c r="D136" i="1"/>
  <c r="D125" i="1"/>
  <c r="D946" i="1"/>
  <c r="D126" i="1"/>
  <c r="D822" i="1"/>
  <c r="D142" i="1"/>
  <c r="D127" i="1"/>
  <c r="D128" i="1"/>
  <c r="D148" i="1"/>
  <c r="D417" i="1"/>
  <c r="D585" i="1"/>
  <c r="D131" i="1"/>
  <c r="D149" i="1"/>
  <c r="D139" i="1"/>
  <c r="D150" i="1"/>
  <c r="D269" i="1"/>
  <c r="D144" i="1"/>
  <c r="D967" i="1"/>
  <c r="D146" i="1"/>
  <c r="D170" i="1"/>
  <c r="D147" i="1"/>
  <c r="D9" i="1"/>
  <c r="D182" i="1"/>
  <c r="D455" i="1"/>
  <c r="D781" i="1"/>
  <c r="D921" i="1"/>
  <c r="D397" i="1"/>
  <c r="D186" i="1"/>
  <c r="D152" i="1"/>
  <c r="D612" i="1"/>
  <c r="D157" i="1"/>
  <c r="D273" i="1"/>
  <c r="D474" i="1"/>
  <c r="D507" i="1"/>
  <c r="D767" i="1"/>
  <c r="D160" i="1"/>
  <c r="D161" i="1"/>
  <c r="D159" i="1"/>
  <c r="D163" i="1"/>
  <c r="D434" i="1"/>
  <c r="D153" i="1"/>
  <c r="D164" i="1"/>
  <c r="D166" i="1"/>
  <c r="D933" i="1"/>
  <c r="D400" i="1"/>
  <c r="D501" i="1"/>
  <c r="D187" i="1"/>
  <c r="D948" i="1"/>
  <c r="D221" i="1"/>
  <c r="D213" i="1"/>
  <c r="D786" i="1"/>
  <c r="D167" i="1"/>
  <c r="D889" i="1"/>
  <c r="D622" i="1"/>
  <c r="D53" i="1"/>
  <c r="D537" i="1"/>
  <c r="D168" i="1"/>
  <c r="D169" i="1"/>
  <c r="D215" i="1"/>
  <c r="D918" i="1"/>
  <c r="D199" i="1"/>
  <c r="D171" i="1"/>
  <c r="D172" i="1"/>
  <c r="D706" i="1"/>
  <c r="D179" i="1"/>
  <c r="D181" i="1"/>
  <c r="D232" i="1"/>
  <c r="D236" i="1"/>
  <c r="D398" i="1"/>
  <c r="D188" i="1"/>
  <c r="D189" i="1"/>
  <c r="D195" i="1"/>
  <c r="D196" i="1"/>
  <c r="D197" i="1"/>
  <c r="D198" i="1"/>
  <c r="D203" i="1"/>
  <c r="D241" i="1"/>
  <c r="D204" i="1"/>
  <c r="D206" i="1"/>
  <c r="D207" i="1"/>
  <c r="D242" i="1"/>
  <c r="D216" i="1"/>
  <c r="D660" i="1"/>
  <c r="D223" i="1"/>
  <c r="D137" i="1"/>
  <c r="D176" i="1"/>
  <c r="D224" i="1"/>
  <c r="D225" i="1"/>
  <c r="D807" i="1"/>
  <c r="D39" i="1"/>
  <c r="D314" i="1"/>
  <c r="D227" i="1"/>
  <c r="D243" i="1"/>
  <c r="D162" i="1"/>
  <c r="D329" i="1"/>
  <c r="D384" i="1"/>
  <c r="D237" i="1"/>
  <c r="D250" i="1"/>
  <c r="D34" i="1"/>
  <c r="D246" i="1"/>
  <c r="D249" i="1"/>
  <c r="D257" i="1"/>
  <c r="D178" i="1"/>
  <c r="D258" i="1"/>
  <c r="D262" i="1"/>
  <c r="D92" i="1"/>
  <c r="D264" i="1"/>
  <c r="D267" i="1"/>
  <c r="D254" i="1"/>
  <c r="D256" i="1"/>
  <c r="D704" i="1"/>
  <c r="D274" i="1"/>
  <c r="D761" i="1"/>
  <c r="D259" i="1"/>
  <c r="D260" i="1"/>
  <c r="D275" i="1"/>
  <c r="D265" i="1"/>
  <c r="D463" i="1"/>
  <c r="D615" i="1"/>
  <c r="D809" i="1"/>
  <c r="D266" i="1"/>
  <c r="D466" i="1"/>
  <c r="D503" i="1"/>
  <c r="D906" i="1"/>
  <c r="D270" i="1"/>
  <c r="D277" i="1"/>
  <c r="D835" i="1"/>
  <c r="D892" i="1"/>
  <c r="D276" i="1"/>
  <c r="D333" i="1"/>
  <c r="D278" i="1"/>
  <c r="D279" i="1"/>
  <c r="D280" i="1"/>
  <c r="D281" i="1"/>
  <c r="D284" i="1"/>
  <c r="D293" i="1"/>
  <c r="D285" i="1"/>
  <c r="D487" i="1"/>
  <c r="D288" i="1"/>
  <c r="D887" i="1"/>
  <c r="D295" i="1"/>
  <c r="D289" i="1"/>
  <c r="D902" i="1"/>
  <c r="D292" i="1"/>
  <c r="D297" i="1"/>
  <c r="D175" i="1"/>
  <c r="D590" i="1"/>
  <c r="D301" i="1"/>
  <c r="D1001" i="1"/>
  <c r="D211" i="1"/>
  <c r="D302" i="1"/>
  <c r="D746" i="1"/>
  <c r="D355" i="1"/>
  <c r="D409" i="1"/>
  <c r="D313" i="1"/>
  <c r="D968" i="1"/>
  <c r="D80" i="1"/>
  <c r="D304" i="1"/>
  <c r="D451" i="1"/>
  <c r="D563" i="1"/>
  <c r="D109" i="1"/>
  <c r="D112" i="1"/>
  <c r="D208" i="1"/>
  <c r="D315" i="1"/>
  <c r="D316" i="1"/>
  <c r="D317" i="1"/>
  <c r="D247" i="1"/>
  <c r="D299" i="1"/>
  <c r="D375" i="1"/>
  <c r="D319" i="1"/>
  <c r="D320" i="1"/>
  <c r="D306" i="1"/>
  <c r="D894" i="1"/>
  <c r="D338" i="1"/>
  <c r="D341" i="1"/>
  <c r="D342" i="1"/>
  <c r="D29" i="1"/>
  <c r="D99" i="1"/>
  <c r="D318" i="1"/>
  <c r="D231" i="1"/>
  <c r="D343" i="1"/>
  <c r="D347" i="1"/>
  <c r="D694" i="1"/>
  <c r="D352" i="1"/>
  <c r="D864" i="1"/>
  <c r="D7" i="1"/>
  <c r="D360" i="1"/>
  <c r="D361" i="1"/>
  <c r="D363" i="1"/>
  <c r="D589" i="1"/>
  <c r="D954" i="1"/>
  <c r="D67" i="1"/>
  <c r="D366" i="1"/>
  <c r="D904" i="1"/>
  <c r="D103" i="1"/>
  <c r="D229" i="1"/>
  <c r="D367" i="1"/>
  <c r="D661" i="1"/>
  <c r="D369" i="1"/>
  <c r="D376" i="1"/>
  <c r="D19" i="1"/>
  <c r="D70" i="1"/>
  <c r="D378" i="1"/>
  <c r="D380" i="1"/>
  <c r="D382" i="1"/>
  <c r="D653" i="1"/>
  <c r="D383" i="1"/>
  <c r="D294" i="1"/>
  <c r="D461" i="1"/>
  <c r="D385" i="1"/>
  <c r="D358" i="1"/>
  <c r="D327" i="1"/>
  <c r="D750" i="1"/>
  <c r="D975" i="1"/>
  <c r="D191" i="1"/>
  <c r="D393" i="1"/>
  <c r="D340" i="1"/>
  <c r="D253" i="1"/>
  <c r="D344" i="1"/>
  <c r="D780" i="1"/>
  <c r="D395" i="1"/>
  <c r="D365" i="1"/>
  <c r="D6" i="1"/>
  <c r="D91" i="1"/>
  <c r="D381" i="1"/>
  <c r="D594" i="1"/>
  <c r="D821" i="1"/>
  <c r="D121" i="1"/>
  <c r="D222" i="1"/>
  <c r="D399" i="1"/>
  <c r="D641" i="1"/>
  <c r="D745" i="1"/>
  <c r="D370" i="1"/>
  <c r="D371" i="1"/>
  <c r="D401" i="1"/>
  <c r="D372" i="1"/>
  <c r="D621" i="1"/>
  <c r="D947" i="1"/>
  <c r="D402" i="1"/>
  <c r="D415" i="1"/>
  <c r="D884" i="1"/>
  <c r="D403" i="1"/>
  <c r="D404" i="1"/>
  <c r="D406" i="1"/>
  <c r="D411" i="1"/>
  <c r="D640" i="1"/>
  <c r="D839" i="1"/>
  <c r="D354" i="1"/>
  <c r="D502" i="1"/>
  <c r="D416" i="1"/>
  <c r="D124" i="1"/>
  <c r="D165" i="1"/>
  <c r="D426" i="1"/>
  <c r="D49" i="1"/>
  <c r="D119" i="1"/>
  <c r="D420" i="1"/>
  <c r="D373" i="1"/>
  <c r="D359" i="1"/>
  <c r="D377" i="1"/>
  <c r="D390" i="1"/>
  <c r="D412" i="1"/>
  <c r="D505" i="1"/>
  <c r="D971" i="1"/>
  <c r="D422" i="1"/>
  <c r="D82" i="1"/>
  <c r="D156" i="1"/>
  <c r="D423" i="1"/>
  <c r="D424" i="1"/>
  <c r="D819" i="1"/>
  <c r="D95" i="1"/>
  <c r="D812" i="1"/>
  <c r="D392" i="1"/>
  <c r="D437" i="1"/>
  <c r="D439" i="1"/>
  <c r="D695" i="1"/>
  <c r="D440" i="1"/>
  <c r="D441" i="1"/>
  <c r="D912" i="1"/>
  <c r="D443" i="1"/>
  <c r="D444" i="1"/>
  <c r="D394" i="1"/>
  <c r="D445" i="1"/>
  <c r="D32" i="1"/>
  <c r="D407" i="1"/>
  <c r="D410" i="1"/>
  <c r="D244" i="1"/>
  <c r="D282" i="1"/>
  <c r="D490" i="1"/>
  <c r="D492" i="1"/>
  <c r="D453" i="1"/>
  <c r="D823" i="1"/>
  <c r="D454" i="1"/>
  <c r="D405" i="1"/>
  <c r="D460" i="1"/>
  <c r="D991" i="1"/>
  <c r="D471" i="1"/>
  <c r="D472" i="1"/>
  <c r="D924" i="1"/>
  <c r="D308" i="1"/>
  <c r="D475" i="1"/>
  <c r="D476" i="1"/>
  <c r="D477" i="1"/>
  <c r="D68" i="1"/>
  <c r="D916" i="1"/>
  <c r="D413" i="1"/>
  <c r="D478" i="1"/>
  <c r="D479" i="1"/>
  <c r="D863" i="1"/>
  <c r="D483" i="1"/>
  <c r="D484" i="1"/>
  <c r="D903" i="1"/>
  <c r="D421" i="1"/>
  <c r="D686" i="1"/>
  <c r="D959" i="1"/>
  <c r="D364" i="1"/>
  <c r="D488" i="1"/>
  <c r="D427" i="1"/>
  <c r="D388" i="1"/>
  <c r="D447" i="1"/>
  <c r="D491" i="1"/>
  <c r="D448" i="1"/>
  <c r="D561" i="1"/>
  <c r="D498" i="1"/>
  <c r="D482" i="1"/>
  <c r="D462" i="1"/>
  <c r="D883" i="1"/>
  <c r="D962" i="1"/>
  <c r="D499" i="1"/>
  <c r="D470" i="1"/>
  <c r="D540" i="1"/>
  <c r="D588" i="1"/>
  <c r="D516" i="1"/>
  <c r="D518" i="1"/>
  <c r="D770" i="1"/>
  <c r="D322" i="1"/>
  <c r="D357" i="1"/>
  <c r="D511" i="1"/>
  <c r="D519" i="1"/>
  <c r="D105" i="1"/>
  <c r="D522" i="1"/>
  <c r="D353" i="1"/>
  <c r="D527" i="1"/>
  <c r="D528" i="1"/>
  <c r="D630" i="1"/>
  <c r="D529" i="1"/>
  <c r="D530" i="1"/>
  <c r="D183" i="1"/>
  <c r="D820" i="1"/>
  <c r="D101" i="1"/>
  <c r="D834" i="1"/>
  <c r="D485" i="1"/>
  <c r="D724" i="1"/>
  <c r="D533" i="1"/>
  <c r="D489" i="1"/>
  <c r="D240" i="1"/>
  <c r="D535" i="1"/>
  <c r="D486" i="1"/>
  <c r="D496" i="1"/>
  <c r="D546" i="1"/>
  <c r="D548" i="1"/>
  <c r="D467" i="1"/>
  <c r="D497" i="1"/>
  <c r="D549" i="1"/>
  <c r="D41" i="1"/>
  <c r="D551" i="1"/>
  <c r="D728" i="1"/>
  <c r="D506" i="1"/>
  <c r="D559" i="1"/>
  <c r="D272" i="1"/>
  <c r="D37" i="1"/>
  <c r="D158" i="1"/>
  <c r="D797" i="1"/>
  <c r="D514" i="1"/>
  <c r="D928" i="1"/>
  <c r="D408" i="1"/>
  <c r="D515" i="1"/>
  <c r="D510" i="1"/>
  <c r="D875" i="1"/>
  <c r="D789" i="1"/>
  <c r="D379" i="1"/>
  <c r="D481" i="1"/>
  <c r="D493" i="1"/>
  <c r="D560" i="1"/>
  <c r="D562" i="1"/>
  <c r="D531" i="1"/>
  <c r="D567" i="1"/>
  <c r="D261" i="1"/>
  <c r="D456" i="1"/>
  <c r="D534" i="1"/>
  <c r="D46" i="1"/>
  <c r="D450" i="1"/>
  <c r="D568" i="1"/>
  <c r="D571" i="1"/>
  <c r="D129" i="1"/>
  <c r="D573" i="1"/>
  <c r="D803" i="1"/>
  <c r="D76" i="1"/>
  <c r="D538" i="1"/>
  <c r="D576" i="1"/>
  <c r="D760" i="1"/>
  <c r="D871" i="1"/>
  <c r="D579" i="1"/>
  <c r="D581" i="1"/>
  <c r="D583" i="1"/>
  <c r="D539" i="1"/>
  <c r="D177" i="1"/>
  <c r="D217" i="1"/>
  <c r="D773" i="1"/>
  <c r="D54" i="1"/>
  <c r="D543" i="1"/>
  <c r="D72" i="1"/>
  <c r="D94" i="1"/>
  <c r="D303" i="1"/>
  <c r="D552" i="1"/>
  <c r="D682" i="1"/>
  <c r="D554" i="1"/>
  <c r="D729" i="1"/>
  <c r="D830" i="1"/>
  <c r="D591" i="1"/>
  <c r="D145" i="1"/>
  <c r="D557" i="1"/>
  <c r="D558" i="1"/>
  <c r="D604" i="1"/>
  <c r="D608" i="1"/>
  <c r="D610" i="1"/>
  <c r="D305" i="1"/>
  <c r="D677" i="1"/>
  <c r="D687" i="1"/>
  <c r="D699" i="1"/>
  <c r="D564" i="1"/>
  <c r="D578" i="1"/>
  <c r="D614" i="1"/>
  <c r="D774" i="1"/>
  <c r="D616" i="1"/>
  <c r="D214" i="1"/>
  <c r="D617" i="1"/>
  <c r="D584" i="1"/>
  <c r="D606" i="1"/>
  <c r="D586" i="1"/>
  <c r="D300" i="1"/>
  <c r="D935" i="1"/>
  <c r="D271" i="1"/>
  <c r="D339" i="1"/>
  <c r="D544" i="1"/>
  <c r="D595" i="1"/>
  <c r="D624" i="1"/>
  <c r="D865" i="1"/>
  <c r="D255" i="1"/>
  <c r="D296" i="1"/>
  <c r="D458" i="1"/>
  <c r="D669" i="1"/>
  <c r="D851" i="1"/>
  <c r="D542" i="1"/>
  <c r="D981" i="1"/>
  <c r="D263" i="1"/>
  <c r="D468" i="1"/>
  <c r="D464" i="1"/>
  <c r="D599" i="1"/>
  <c r="D668" i="1"/>
  <c r="D673" i="1"/>
  <c r="D950" i="1"/>
  <c r="D28" i="1"/>
  <c r="D348" i="1"/>
  <c r="D688" i="1"/>
  <c r="D550" i="1"/>
  <c r="D626" i="1"/>
  <c r="D627" i="1"/>
  <c r="D628" i="1"/>
  <c r="D596" i="1"/>
  <c r="D36" i="1"/>
  <c r="D141" i="1"/>
  <c r="D631" i="1"/>
  <c r="D638" i="1"/>
  <c r="D643" i="1"/>
  <c r="D309" i="1"/>
  <c r="D419" i="1"/>
  <c r="D613" i="1"/>
  <c r="D876" i="1"/>
  <c r="D431" i="1"/>
  <c r="D634" i="1"/>
  <c r="D647" i="1"/>
  <c r="D648" i="1"/>
  <c r="D650" i="1"/>
  <c r="D652" i="1"/>
  <c r="D654" i="1"/>
  <c r="D655" i="1"/>
  <c r="D656" i="1"/>
  <c r="D658" i="1"/>
  <c r="D659" i="1"/>
  <c r="D662" i="1"/>
  <c r="D509" i="1"/>
  <c r="D808" i="1"/>
  <c r="D512" i="1"/>
  <c r="D598" i="1"/>
  <c r="D602" i="1"/>
  <c r="D817" i="1"/>
  <c r="D218" i="1"/>
  <c r="D665" i="1"/>
  <c r="D649" i="1"/>
  <c r="D603" i="1"/>
  <c r="D286" i="1"/>
  <c r="D428" i="1"/>
  <c r="D570" i="1"/>
  <c r="D666" i="1"/>
  <c r="D674" i="1"/>
  <c r="D958" i="1"/>
  <c r="D636" i="1"/>
  <c r="D30" i="1"/>
  <c r="D675" i="1"/>
  <c r="D860" i="1"/>
  <c r="D639" i="1"/>
  <c r="D824" i="1"/>
  <c r="D676" i="1"/>
  <c r="D982" i="1"/>
  <c r="D220" i="1"/>
  <c r="D74" i="1"/>
  <c r="D681" i="1"/>
  <c r="D307" i="1"/>
  <c r="D726" i="1"/>
  <c r="D607" i="1"/>
  <c r="D993" i="1"/>
  <c r="D629" i="1"/>
  <c r="D623" i="1"/>
  <c r="D685" i="1"/>
  <c r="D637" i="1"/>
  <c r="D689" i="1"/>
  <c r="D51" i="1"/>
  <c r="D480" i="1"/>
  <c r="D805" i="1"/>
  <c r="D93" i="1"/>
  <c r="D283" i="1"/>
  <c r="D719" i="1"/>
  <c r="D618" i="1"/>
  <c r="D625" i="1"/>
  <c r="D826" i="1"/>
  <c r="D569" i="1"/>
  <c r="D672" i="1"/>
  <c r="D757" i="1"/>
  <c r="D691" i="1"/>
  <c r="D692" i="1"/>
  <c r="D645" i="1"/>
  <c r="D693" i="1"/>
  <c r="D697" i="1"/>
  <c r="D734" i="1"/>
  <c r="D925" i="1"/>
  <c r="D698" i="1"/>
  <c r="D252" i="1"/>
  <c r="D700" i="1"/>
  <c r="D575" i="1"/>
  <c r="D703" i="1"/>
  <c r="D872" i="1"/>
  <c r="D201" i="1"/>
  <c r="D664" i="1"/>
  <c r="D705" i="1"/>
  <c r="D856" i="1"/>
  <c r="D326" i="1"/>
  <c r="D683" i="1"/>
  <c r="D932" i="1"/>
  <c r="D926" i="1"/>
  <c r="D298" i="1"/>
  <c r="D708" i="1"/>
  <c r="D895" i="1"/>
  <c r="D670" i="1"/>
  <c r="D717" i="1"/>
  <c r="D718" i="1"/>
  <c r="D678" i="1"/>
  <c r="D720" i="1"/>
  <c r="D722" i="1"/>
  <c r="D725" i="1"/>
  <c r="D727" i="1"/>
  <c r="D184" i="1"/>
  <c r="D414" i="1"/>
  <c r="D800" i="1"/>
  <c r="D852" i="1"/>
  <c r="D680" i="1"/>
  <c r="D696" i="1"/>
  <c r="D936" i="1"/>
  <c r="D133" i="1"/>
  <c r="D605" i="1"/>
  <c r="D833" i="1"/>
  <c r="D114" i="1"/>
  <c r="D730" i="1"/>
  <c r="D731" i="1"/>
  <c r="D732" i="1"/>
  <c r="D710" i="1"/>
  <c r="D633" i="1"/>
  <c r="D735" i="1"/>
  <c r="D173" i="1"/>
  <c r="D736" i="1"/>
  <c r="D737" i="1"/>
  <c r="D795" i="1"/>
  <c r="D715" i="1"/>
  <c r="D331" i="1"/>
  <c r="D495" i="1"/>
  <c r="D723" i="1"/>
  <c r="D574" i="1"/>
  <c r="D748" i="1"/>
  <c r="D580" i="1"/>
  <c r="D219" i="1"/>
  <c r="D847" i="1"/>
  <c r="D738" i="1"/>
  <c r="D524" i="1"/>
  <c r="D644" i="1"/>
  <c r="D739" i="1"/>
  <c r="D810" i="1"/>
  <c r="D955" i="1"/>
  <c r="D898" i="1"/>
  <c r="D763" i="1"/>
  <c r="D205" i="1"/>
  <c r="D391" i="1"/>
  <c r="D180" i="1"/>
  <c r="D328" i="1"/>
  <c r="D742" i="1"/>
  <c r="D874" i="1"/>
  <c r="D747" i="1"/>
  <c r="D749" i="1"/>
  <c r="D90" i="1"/>
  <c r="D751" i="1"/>
  <c r="D910" i="1"/>
  <c r="D52" i="1"/>
  <c r="D155" i="1"/>
  <c r="D769" i="1"/>
  <c r="D752" i="1"/>
  <c r="D890" i="1"/>
  <c r="D123" i="1"/>
  <c r="D374" i="1"/>
  <c r="D525" i="1"/>
  <c r="D753" i="1"/>
  <c r="D814" i="1"/>
  <c r="D754" i="1"/>
  <c r="D209" i="1"/>
  <c r="D248" i="1"/>
  <c r="D291" i="1"/>
  <c r="D657" i="1"/>
  <c r="D756" i="1"/>
  <c r="D759" i="1"/>
  <c r="D671" i="1"/>
  <c r="D386" i="1"/>
  <c r="D762" i="1"/>
  <c r="D27" i="1"/>
  <c r="D438" i="1"/>
  <c r="D690" i="1"/>
  <c r="D764" i="1"/>
  <c r="D635" i="1"/>
  <c r="D202" i="1"/>
  <c r="D287" i="1"/>
  <c r="D765" i="1"/>
  <c r="D56" i="1"/>
  <c r="D429" i="1"/>
  <c r="D442" i="1"/>
  <c r="D977" i="1"/>
  <c r="D766" i="1"/>
  <c r="D228" i="1"/>
  <c r="D772" i="1"/>
  <c r="D771" i="1"/>
  <c r="D547" i="1"/>
  <c r="D873" i="1"/>
  <c r="D915" i="1"/>
  <c r="D311" i="1"/>
  <c r="D775" i="1"/>
  <c r="D777" i="1"/>
  <c r="D98" i="1"/>
  <c r="D620" i="1"/>
  <c r="D793" i="1"/>
  <c r="D457" i="1"/>
  <c r="D783" i="1"/>
  <c r="D784" i="1"/>
  <c r="D122" i="1"/>
  <c r="D432" i="1"/>
  <c r="D802" i="1"/>
  <c r="D712" i="1"/>
  <c r="D755" i="1"/>
  <c r="D787" i="1"/>
  <c r="D351" i="1"/>
  <c r="D790" i="1"/>
  <c r="D110" i="1"/>
  <c r="D192" i="1"/>
  <c r="D791" i="1"/>
  <c r="D556" i="1"/>
  <c r="D798" i="1"/>
  <c r="D799" i="1"/>
  <c r="D801" i="1"/>
  <c r="D923" i="1"/>
  <c r="D601" i="1"/>
  <c r="D813" i="1"/>
  <c r="D804" i="1"/>
  <c r="D61" i="1"/>
  <c r="D251" i="1"/>
  <c r="D517" i="1"/>
  <c r="D938" i="1"/>
  <c r="D815" i="1"/>
  <c r="D816" i="1"/>
  <c r="D565" i="1"/>
  <c r="D768" i="1"/>
  <c r="D504" i="1"/>
  <c r="D870" i="1"/>
  <c r="D825" i="1"/>
  <c r="D350" i="1"/>
  <c r="D827" i="1"/>
  <c r="D831" i="1"/>
  <c r="D325" i="1"/>
  <c r="D837" i="1"/>
  <c r="D31" i="1"/>
  <c r="D836" i="1"/>
  <c r="D230" i="1"/>
  <c r="D897" i="1"/>
  <c r="D960" i="1"/>
  <c r="D838" i="1"/>
  <c r="D13" i="1"/>
  <c r="D711" i="1"/>
  <c r="D840" i="1"/>
  <c r="D818" i="1"/>
  <c r="D335" i="1"/>
  <c r="D844" i="1"/>
  <c r="D848" i="1"/>
  <c r="D841" i="1"/>
  <c r="D854" i="1"/>
  <c r="D843" i="1"/>
  <c r="D508" i="1"/>
  <c r="D842" i="1"/>
  <c r="D845" i="1"/>
  <c r="D952" i="1"/>
  <c r="D859" i="1"/>
  <c r="D785" i="1"/>
  <c r="D846" i="1"/>
  <c r="D849" i="1"/>
  <c r="D48" i="1"/>
  <c r="D850" i="1"/>
  <c r="D853" i="1"/>
  <c r="D513" i="1"/>
  <c r="D566" i="1"/>
  <c r="D855" i="1"/>
  <c r="D867" i="1"/>
  <c r="D861" i="1"/>
  <c r="D868" i="1"/>
  <c r="D174" i="1"/>
  <c r="D862" i="1"/>
  <c r="D828" i="1"/>
  <c r="D866" i="1"/>
  <c r="D389" i="1"/>
  <c r="D632" i="1"/>
  <c r="D555" i="1"/>
  <c r="D879" i="1"/>
  <c r="D877" i="1"/>
  <c r="D878" i="1"/>
  <c r="D346" i="1"/>
  <c r="D459" i="1"/>
  <c r="D880" i="1"/>
  <c r="D964" i="1"/>
  <c r="D881" i="1"/>
  <c r="D707" i="1"/>
  <c r="D882" i="1"/>
  <c r="D893" i="1"/>
  <c r="D901" i="1"/>
  <c r="D646" i="1"/>
  <c r="D907" i="1"/>
  <c r="D998" i="1"/>
  <c r="D58" i="1"/>
  <c r="D138" i="1"/>
  <c r="D779" i="1"/>
  <c r="D600" i="1"/>
  <c r="D885" i="1"/>
  <c r="D235" i="1"/>
  <c r="D886" i="1"/>
  <c r="D418" i="1"/>
  <c r="D582" i="1"/>
  <c r="D911" i="1"/>
  <c r="D88" i="1"/>
  <c r="D888" i="1"/>
  <c r="D425" i="1"/>
  <c r="D642" i="1"/>
  <c r="D919" i="1"/>
  <c r="D2" i="1"/>
  <c r="D896" i="1"/>
  <c r="D899" i="1"/>
  <c r="D900" i="1"/>
  <c r="D494" i="1"/>
  <c r="D920" i="1"/>
  <c r="D716" i="1"/>
  <c r="D268" i="1"/>
  <c r="D905" i="1"/>
  <c r="D857" i="1"/>
  <c r="D85" i="1"/>
  <c r="D796" i="1"/>
  <c r="D927" i="1"/>
  <c r="D929" i="1"/>
  <c r="D740" i="1"/>
  <c r="D290" i="1"/>
  <c r="D931" i="1"/>
  <c r="D811" i="1"/>
  <c r="D930" i="1"/>
  <c r="D939" i="1"/>
  <c r="D942" i="1"/>
  <c r="D943" i="1"/>
  <c r="D609" i="1"/>
  <c r="D349" i="1"/>
  <c r="D200" i="1"/>
  <c r="D944" i="1"/>
  <c r="D934" i="1"/>
  <c r="D577" i="1"/>
  <c r="D66" i="1"/>
  <c r="D312" i="1"/>
  <c r="D792" i="1"/>
  <c r="D972" i="1"/>
  <c r="D1000" i="1"/>
  <c r="D396" i="1"/>
  <c r="D536" i="1"/>
  <c r="D945" i="1"/>
  <c r="D713" i="1"/>
  <c r="D869" i="1"/>
  <c r="D532" i="1"/>
  <c r="D951" i="1"/>
  <c r="D953" i="1"/>
  <c r="D956" i="1"/>
  <c r="D541" i="1"/>
  <c r="D957" i="1"/>
  <c r="D245" i="1"/>
  <c r="D356" i="1"/>
  <c r="D469" i="1"/>
  <c r="D701" i="1"/>
  <c r="D961" i="1"/>
  <c r="D829" i="1"/>
  <c r="D963" i="1"/>
  <c r="D941" i="1"/>
  <c r="D362" i="1"/>
  <c r="D949" i="1"/>
  <c r="D965" i="1"/>
  <c r="D587" i="1"/>
  <c r="D337" i="1"/>
  <c r="D572" i="1"/>
  <c r="D10" i="1"/>
  <c r="D553" i="1"/>
  <c r="D966" i="1"/>
  <c r="D969" i="1"/>
  <c r="D702" i="1"/>
  <c r="D140" i="1"/>
  <c r="D970" i="1"/>
  <c r="D84" i="1"/>
  <c r="D154" i="1"/>
  <c r="D452" i="1"/>
  <c r="D100" i="1"/>
  <c r="D974" i="1"/>
  <c r="D980" i="1"/>
  <c r="D526" i="1"/>
  <c r="D940" i="1"/>
  <c r="D995" i="1"/>
  <c r="D976" i="1"/>
  <c r="D979" i="1"/>
  <c r="D983" i="1"/>
  <c r="D210" i="1"/>
  <c r="D436" i="1"/>
  <c r="D778" i="1"/>
  <c r="D984" i="1"/>
  <c r="D891" i="1"/>
  <c r="D985" i="1"/>
  <c r="D663" i="1"/>
  <c r="D310" i="1"/>
  <c r="D545" i="1"/>
  <c r="D986" i="1"/>
  <c r="D987" i="1"/>
  <c r="D679" i="1"/>
  <c r="D782" i="1"/>
  <c r="D988" i="1"/>
  <c r="D917" i="1"/>
  <c r="D758" i="1"/>
  <c r="D26" i="1"/>
  <c r="D83" i="1"/>
  <c r="D473" i="1"/>
  <c r="D989" i="1"/>
  <c r="D992" i="1"/>
  <c r="D996" i="1"/>
  <c r="D999" i="1"/>
  <c r="D387" i="1"/>
  <c r="D430" i="1"/>
  <c r="D997" i="1"/>
  <c r="D990" i="1"/>
  <c r="D234" i="1"/>
  <c r="D521" i="1"/>
  <c r="D806" i="1"/>
  <c r="D909" i="1"/>
  <c r="D858" i="1"/>
  <c r="D212" i="1"/>
  <c r="D651" i="1"/>
  <c r="D3" i="1"/>
  <c r="S11" i="1"/>
  <c r="S10" i="1"/>
  <c r="S9" i="1"/>
  <c r="R11" i="1"/>
  <c r="R10" i="1"/>
  <c r="R9" i="1"/>
  <c r="M9" i="1"/>
  <c r="M10" i="1"/>
  <c r="M11" i="1"/>
  <c r="B2" i="2" s="1"/>
  <c r="M12" i="1"/>
  <c r="M13" i="1"/>
  <c r="M14" i="1"/>
  <c r="M15" i="1"/>
  <c r="M16" i="1"/>
  <c r="B3" i="2" s="1"/>
  <c r="D3" i="2" s="1"/>
  <c r="M17" i="1"/>
  <c r="M18" i="1"/>
  <c r="M19" i="1"/>
  <c r="M20" i="1"/>
  <c r="M21" i="1"/>
  <c r="M22" i="1"/>
  <c r="M23" i="1"/>
  <c r="M24" i="1"/>
  <c r="M25" i="1"/>
  <c r="M26" i="1"/>
  <c r="B4" i="2" s="1"/>
  <c r="D4" i="2" s="1"/>
  <c r="M27" i="1"/>
  <c r="M28" i="1"/>
  <c r="M29" i="1"/>
  <c r="M30" i="1"/>
  <c r="M31" i="1"/>
  <c r="B5" i="2" s="1"/>
  <c r="D5" i="2" s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B6" i="2" s="1"/>
  <c r="D6" i="2" s="1"/>
  <c r="M56" i="1"/>
  <c r="B7" i="2" s="1"/>
  <c r="D7" i="2" s="1"/>
  <c r="M57" i="1"/>
  <c r="M58" i="1"/>
  <c r="M59" i="1"/>
  <c r="M60" i="1"/>
  <c r="M61" i="1"/>
  <c r="M62" i="1"/>
  <c r="M63" i="1"/>
  <c r="M64" i="1"/>
  <c r="M65" i="1"/>
  <c r="M66" i="1"/>
  <c r="M67" i="1"/>
  <c r="M68" i="1"/>
  <c r="B8" i="2" s="1"/>
  <c r="D8" i="2" s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B9" i="2" s="1"/>
  <c r="D9" i="2" s="1"/>
  <c r="M91" i="1"/>
  <c r="M92" i="1"/>
  <c r="M93" i="1"/>
  <c r="M94" i="1"/>
  <c r="M95" i="1"/>
  <c r="M96" i="1"/>
  <c r="M97" i="1"/>
  <c r="M98" i="1"/>
  <c r="M99" i="1"/>
  <c r="M100" i="1"/>
  <c r="M101" i="1"/>
  <c r="B10" i="2" s="1"/>
  <c r="D10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2" i="1"/>
  <c r="B12" i="2" l="1"/>
  <c r="D2" i="2"/>
  <c r="T11" i="1"/>
  <c r="T9" i="1"/>
  <c r="Q17" i="1"/>
  <c r="Q14" i="1"/>
  <c r="Q611" i="1"/>
  <c r="T10" i="1"/>
  <c r="Q33" i="1"/>
  <c r="O2" i="1"/>
  <c r="N2" i="1"/>
  <c r="O8" i="1"/>
  <c r="N8" i="1"/>
  <c r="O7" i="1"/>
  <c r="N7" i="1"/>
  <c r="O6" i="1"/>
  <c r="N6" i="1"/>
  <c r="O5" i="1"/>
  <c r="N5" i="1"/>
  <c r="O4" i="1"/>
  <c r="N4" i="1"/>
  <c r="O3" i="1"/>
  <c r="N3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<sst xmlns="http://schemas.openxmlformats.org/spreadsheetml/2006/main" count="3084" uniqueCount="1058">
  <si>
    <t>Product Category</t>
  </si>
  <si>
    <t>Sum of Sales</t>
  </si>
  <si>
    <t>Beauty</t>
  </si>
  <si>
    <t>Clothing</t>
  </si>
  <si>
    <t>Electronics</t>
  </si>
  <si>
    <t>Grand Total</t>
  </si>
  <si>
    <t>Gender</t>
  </si>
  <si>
    <t>Female</t>
  </si>
  <si>
    <t>Male</t>
  </si>
  <si>
    <t>Generation</t>
  </si>
  <si>
    <t>Adult</t>
  </si>
  <si>
    <t>Senior</t>
  </si>
  <si>
    <t>Young Adult</t>
  </si>
  <si>
    <t>Transaction ID</t>
  </si>
  <si>
    <t>Day</t>
  </si>
  <si>
    <t>Month</t>
  </si>
  <si>
    <t>Year</t>
  </si>
  <si>
    <t>Date</t>
  </si>
  <si>
    <t>Customer ID</t>
  </si>
  <si>
    <t>Age</t>
  </si>
  <si>
    <t>Quantity</t>
  </si>
  <si>
    <t>Price per Unit</t>
  </si>
  <si>
    <t>Sales</t>
  </si>
  <si>
    <t>Commission 2023</t>
  </si>
  <si>
    <t>Commission 2024</t>
  </si>
  <si>
    <t>Commission Total</t>
  </si>
  <si>
    <t>CUST001</t>
  </si>
  <si>
    <t>rate %</t>
  </si>
  <si>
    <t>CUST002</t>
  </si>
  <si>
    <t>commission 2023</t>
  </si>
  <si>
    <t>CUST003</t>
  </si>
  <si>
    <t>commission 2024</t>
  </si>
  <si>
    <t>CUST004</t>
  </si>
  <si>
    <t>CUST005</t>
  </si>
  <si>
    <t>CUST006</t>
  </si>
  <si>
    <t>CUST007</t>
  </si>
  <si>
    <t>Average sales</t>
  </si>
  <si>
    <t>CUST008</t>
  </si>
  <si>
    <t>CUST009</t>
  </si>
  <si>
    <t>CUST010</t>
  </si>
  <si>
    <t>Total Sales</t>
  </si>
  <si>
    <t>CUST011</t>
  </si>
  <si>
    <t>CUST012</t>
  </si>
  <si>
    <t>CUST013</t>
  </si>
  <si>
    <t>All products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</si>
  <si>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</si>
  <si>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</si>
  <si>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</si>
  <si>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</si>
  <si>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</si>
  <si>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</si>
  <si>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</si>
  <si>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</si>
  <si>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</si>
  <si>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</si>
  <si>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</si>
  <si>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</si>
  <si>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</si>
  <si>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</si>
  <si>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</si>
  <si>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</si>
  <si>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</si>
  <si>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</si>
  <si>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</si>
  <si>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</si>
  <si>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</si>
  <si>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</si>
  <si>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</si>
  <si>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</si>
  <si>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</si>
  <si>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</si>
  <si>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</si>
  <si>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</si>
  <si>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</si>
  <si>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</si>
  <si>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</si>
  <si>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</si>
  <si>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</si>
  <si>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</si>
  <si>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</si>
  <si>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</si>
  <si>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</si>
  <si>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</si>
  <si>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</si>
  <si>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</si>
  <si>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</si>
  <si>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</si>
  <si>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</si>
  <si>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</si>
  <si>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</si>
  <si>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</si>
  <si>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</si>
  <si>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</si>
  <si>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</si>
  <si>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</si>
  <si>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</si>
  <si>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</si>
  <si>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</si>
  <si>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</si>
  <si>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</si>
  <si>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</si>
  <si>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</si>
  <si>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</si>
  <si>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</si>
  <si>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</si>
  <si>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</si>
  <si>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</si>
  <si>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</si>
  <si>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</si>
  <si>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</si>
  <si>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</si>
  <si>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</si>
  <si>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</si>
  <si>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</si>
  <si>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</si>
  <si>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</si>
  <si>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</si>
  <si>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</si>
  <si>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</si>
  <si>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</si>
  <si>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</si>
  <si>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</si>
  <si>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</si>
  <si>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</si>
  <si>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</si>
  <si>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</si>
  <si>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</si>
  <si>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</si>
  <si>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</si>
  <si>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</si>
  <si>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</si>
  <si>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</si>
  <si>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</si>
  <si>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</si>
  <si>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</si>
  <si>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</si>
  <si>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</si>
  <si>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</si>
  <si>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</si>
  <si>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</si>
  <si>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</si>
  <si>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</si>
  <si>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</si>
  <si>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</si>
  <si>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</si>
  <si>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</si>
  <si>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</si>
  <si>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</si>
  <si>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</si>
  <si>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</si>
  <si>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</si>
  <si>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</si>
  <si>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</si>
  <si>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</si>
  <si>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</si>
  <si>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</si>
  <si>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</si>
  <si>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</si>
  <si>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</si>
  <si>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</si>
  <si>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</si>
  <si>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</si>
  <si>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</si>
  <si>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</si>
  <si>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</si>
  <si>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</si>
  <si>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</si>
  <si>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</si>
  <si>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</si>
  <si>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</si>
  <si>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</si>
  <si>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</si>
  <si>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</si>
  <si>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</si>
  <si>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</si>
  <si>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</si>
  <si>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</si>
  <si>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</si>
  <si>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</si>
  <si>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</si>
  <si>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</si>
  <si>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</si>
  <si>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</si>
  <si>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</si>
  <si>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</si>
  <si>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</si>
  <si>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</si>
  <si>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</si>
  <si>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</si>
  <si>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</si>
  <si>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</si>
  <si>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</si>
  <si>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</si>
  <si>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</si>
  <si>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</si>
  <si>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</si>
  <si>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</si>
  <si>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</si>
  <si>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</si>
  <si>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</si>
  <si>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</si>
  <si>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</si>
  <si>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</si>
  <si>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</si>
  <si>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</si>
  <si>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</si>
  <si>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</si>
  <si>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</si>
  <si>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</si>
  <si>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</si>
  <si>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</si>
  <si>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</si>
  <si>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</si>
  <si>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</si>
  <si>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</si>
  <si>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</si>
  <si>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</si>
  <si>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</si>
  <si>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</si>
  <si>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</si>
  <si>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</si>
  <si>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</si>
  <si>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</si>
  <si>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</si>
  <si>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</si>
  <si>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</si>
  <si>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</si>
  <si>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</si>
  <si>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</si>
  <si>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</si>
  <si>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</si>
  <si>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</si>
  <si>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</si>
  <si>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</si>
  <si>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</si>
  <si>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</si>
  <si>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</si>
  <si>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</si>
  <si>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</si>
  <si>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</si>
  <si>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</si>
  <si>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</si>
  <si>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</si>
  <si>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</si>
  <si>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</si>
  <si>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</si>
  <si>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</si>
  <si>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</si>
  <si>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</si>
  <si>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</si>
  <si>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</si>
  <si>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</si>
  <si>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</si>
  <si>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</si>
  <si>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</si>
  <si>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</si>
  <si>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</si>
  <si>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</si>
  <si>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</si>
  <si>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</si>
  <si>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</si>
  <si>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</si>
  <si>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</si>
  <si>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</si>
  <si>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</si>
  <si>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</si>
  <si>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</si>
  <si>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</si>
  <si>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</si>
  <si>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</si>
  <si>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</si>
  <si>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</si>
  <si>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</si>
  <si>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</si>
  <si>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</si>
  <si>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</si>
  <si>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</si>
  <si>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</si>
  <si>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</si>
  <si>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</si>
  <si>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</si>
  <si>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</si>
  <si>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</si>
  <si>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</si>
  <si>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</si>
  <si>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</si>
  <si>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</si>
  <si>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</si>
  <si>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</si>
  <si>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</si>
  <si>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</si>
  <si>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</si>
  <si>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</si>
  <si>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</si>
  <si>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</si>
  <si>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</si>
  <si>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</si>
  <si>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</si>
  <si>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</si>
  <si>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</si>
  <si>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</si>
  <si>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</si>
  <si>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</si>
  <si>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</si>
  <si>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</si>
  <si>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</si>
  <si>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</si>
  <si>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</si>
  <si>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</si>
  <si>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</si>
  <si>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</si>
  <si>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</si>
  <si>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</si>
  <si>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</si>
  <si>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</si>
  <si>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</si>
  <si>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</si>
  <si>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</si>
  <si>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</si>
  <si>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</si>
  <si>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</si>
  <si>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</si>
  <si>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</si>
  <si>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</si>
  <si>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</si>
  <si>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</si>
  <si>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</si>
  <si>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</si>
  <si>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</si>
  <si>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</si>
  <si>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</si>
  <si>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</si>
  <si>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</si>
  <si>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</si>
  <si>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</si>
  <si>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</si>
  <si>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</si>
  <si>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</si>
  <si>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</si>
  <si>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</si>
  <si>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</si>
  <si>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</si>
  <si>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</si>
  <si>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</si>
  <si>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</si>
  <si>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</si>
  <si>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</si>
  <si>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</si>
  <si>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</si>
  <si>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</si>
  <si>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</si>
  <si>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</si>
  <si>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</si>
  <si>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</si>
  <si>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</si>
  <si>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</si>
  <si>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</si>
  <si>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</si>
  <si>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</si>
  <si>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</si>
  <si>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</si>
  <si>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</si>
  <si>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</si>
  <si>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</si>
  <si>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</si>
  <si>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</si>
  <si>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</si>
  <si>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</si>
  <si>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</si>
  <si>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</si>
  <si>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</si>
  <si>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</si>
  <si>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</si>
  <si>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</si>
  <si>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</si>
  <si>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</si>
  <si>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</si>
  <si>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</si>
  <si>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</si>
  <si>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</si>
  <si>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</si>
  <si>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</si>
  <si>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</si>
  <si>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</si>
  <si>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</si>
  <si>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</si>
  <si>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</si>
  <si>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</si>
  <si>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</si>
  <si>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</si>
  <si>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</si>
  <si>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</si>
  <si>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</si>
  <si>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</si>
  <si>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</si>
  <si>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</si>
  <si>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</si>
  <si>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</si>
  <si>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</si>
  <si>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</si>
  <si>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</si>
  <si>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</si>
  <si>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</si>
  <si>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</si>
  <si>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</si>
  <si>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</si>
  <si>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</si>
  <si>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</si>
  <si>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</si>
  <si>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</si>
  <si>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</si>
  <si>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</si>
  <si>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</si>
  <si>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</si>
  <si>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</si>
  <si>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</si>
  <si>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</si>
  <si>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</si>
  <si>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</si>
  <si>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</si>
  <si>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</si>
  <si>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</si>
  <si>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</si>
  <si>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</si>
  <si>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</si>
  <si>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</si>
  <si>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</si>
  <si>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</si>
  <si>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</si>
  <si>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</si>
  <si>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</si>
  <si>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</si>
  <si>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</si>
  <si>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</si>
  <si>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</si>
  <si>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</si>
  <si>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</si>
  <si>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</si>
  <si>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</si>
  <si>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</si>
  <si>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</si>
  <si>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</si>
  <si>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</si>
  <si>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</si>
  <si>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</si>
  <si>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</si>
  <si>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</si>
  <si>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</si>
  <si>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</si>
  <si>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</si>
  <si>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</si>
  <si>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</si>
  <si>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</si>
  <si>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</si>
  <si>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</si>
  <si>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</si>
  <si>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</si>
  <si>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</si>
  <si>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</si>
  <si>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</si>
  <si>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</si>
  <si>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</si>
  <si>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</si>
  <si>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</si>
  <si>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</si>
  <si>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</si>
  <si>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</si>
  <si>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</si>
  <si>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</si>
  <si>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</si>
  <si>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</si>
  <si>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</si>
  <si>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</si>
  <si>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</si>
  <si>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</si>
  <si>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</si>
  <si>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</si>
  <si>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</si>
  <si>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</si>
  <si>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</si>
  <si>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</si>
  <si>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</si>
  <si>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</si>
  <si>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</si>
  <si>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</si>
  <si>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</si>
  <si>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</si>
  <si>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</si>
  <si>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</si>
  <si>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</si>
  <si>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</si>
  <si>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</si>
  <si>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</si>
  <si>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</si>
  <si>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</si>
  <si>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</si>
  <si>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</si>
  <si>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</si>
  <si>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</si>
  <si>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</si>
  <si>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</si>
  <si>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</si>
  <si>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</si>
  <si>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</si>
  <si>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</si>
  <si>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</si>
  <si>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</si>
  <si>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</si>
  <si>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</si>
  <si>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</si>
  <si>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</si>
  <si>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</si>
  <si>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</si>
  <si>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</si>
  <si>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</si>
  <si>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</si>
  <si>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</si>
  <si>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</si>
  <si>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</si>
  <si>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</si>
  <si>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</si>
  <si>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</si>
  <si>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</si>
  <si>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</si>
  <si>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</si>
  <si>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</si>
  <si>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</si>
  <si>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</si>
  <si>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</si>
  <si>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</si>
  <si>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</si>
  <si>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</si>
  <si>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</si>
  <si>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</si>
  <si>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</si>
  <si>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</si>
  <si>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</si>
  <si>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</si>
  <si>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</si>
  <si>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</si>
  <si>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</si>
  <si>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</si>
  <si>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</si>
  <si>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</si>
  <si>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</si>
  <si>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</si>
  <si>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</si>
  <si>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</si>
  <si>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</si>
  <si>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</si>
  <si>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</si>
  <si>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</si>
  <si>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</si>
  <si>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</si>
  <si>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</si>
  <si>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</si>
  <si>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</si>
  <si>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</si>
  <si>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</si>
  <si>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</si>
  <si>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</si>
  <si>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</si>
  <si>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</si>
  <si>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</si>
  <si>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</si>
  <si>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</si>
  <si>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</si>
  <si>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</si>
  <si>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</si>
  <si>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</si>
  <si>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</si>
  <si>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</si>
  <si>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</si>
  <si>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</si>
  <si>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</si>
  <si>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</si>
  <si>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</si>
  <si>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</si>
  <si>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</si>
  <si>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</si>
  <si>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</si>
  <si>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</si>
  <si>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</si>
  <si>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</si>
  <si>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</si>
  <si>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</si>
  <si>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</si>
  <si>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</si>
  <si>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</si>
  <si>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</si>
  <si>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</si>
  <si>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</si>
  <si>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</si>
  <si>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</si>
  <si>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</si>
  <si>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</si>
  <si>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</si>
  <si>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</si>
  <si>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</si>
  <si>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</si>
  <si>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</si>
  <si>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</si>
  <si>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</si>
  <si>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</si>
  <si>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</si>
  <si>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</si>
  <si>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</si>
  <si>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</si>
  <si>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</si>
  <si>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</si>
  <si>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</si>
  <si>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</si>
  <si>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</si>
  <si>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</si>
  <si>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</si>
  <si>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</si>
  <si>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</si>
  <si>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</si>
  <si>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</si>
  <si>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</si>
  <si>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</si>
  <si>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</si>
  <si>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</si>
  <si>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</si>
  <si>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</si>
  <si>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</si>
  <si>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</si>
  <si>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</si>
  <si>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</si>
  <si>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</si>
  <si>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</si>
  <si>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</si>
  <si>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</si>
  <si>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</si>
  <si>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</si>
  <si>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</si>
  <si>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</si>
  <si>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</si>
  <si>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</si>
  <si>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</si>
  <si>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</si>
  <si>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</si>
  <si>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</si>
  <si>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</si>
  <si>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</si>
  <si>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</si>
  <si>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</si>
  <si>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</si>
  <si>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</si>
  <si>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</si>
  <si>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</si>
  <si>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</si>
  <si>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</si>
  <si>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</si>
  <si>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</si>
  <si>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</si>
  <si>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</si>
  <si>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</si>
  <si>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</si>
  <si>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</si>
  <si>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</si>
  <si>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</si>
  <si>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</si>
  <si>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</si>
  <si>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</si>
  <si>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</si>
  <si>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</si>
  <si>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</si>
  <si>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</si>
  <si>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</si>
  <si>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</si>
  <si>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</si>
  <si>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</si>
  <si>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</si>
  <si>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</si>
  <si>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</si>
  <si>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</si>
  <si>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</si>
  <si>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</si>
  <si>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</si>
  <si>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</si>
  <si>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</si>
  <si>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</si>
  <si>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</si>
  <si>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</si>
  <si>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</si>
  <si>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</si>
  <si>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</si>
  <si>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</si>
  <si>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</si>
  <si>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</si>
  <si>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</si>
  <si>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</si>
  <si>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</si>
  <si>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</si>
  <si>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</si>
  <si>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</si>
  <si>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</si>
  <si>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</si>
  <si>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</si>
  <si>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</si>
  <si>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</si>
  <si>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</si>
  <si>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</si>
  <si>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</si>
  <si>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</si>
  <si>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</si>
  <si>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</si>
  <si>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</si>
  <si>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</si>
  <si>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</si>
  <si>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</si>
  <si>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</si>
  <si>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</si>
  <si>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</si>
  <si>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</si>
  <si>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</si>
  <si>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</si>
  <si>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</si>
  <si>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</si>
  <si>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</si>
  <si>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</si>
  <si>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</si>
  <si>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</si>
  <si>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</si>
  <si>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</si>
  <si>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</si>
  <si>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</si>
  <si>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</si>
  <si>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</si>
  <si>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</si>
  <si>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</si>
  <si>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</si>
  <si>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</si>
  <si>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</si>
  <si>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</si>
  <si>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</si>
  <si>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</si>
  <si>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</si>
  <si>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</si>
  <si>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</si>
  <si>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</si>
  <si>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</si>
  <si>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</si>
  <si>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</si>
  <si>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</si>
  <si>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</si>
  <si>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</si>
  <si>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</si>
  <si>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</si>
  <si>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</si>
  <si>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</si>
  <si>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</si>
  <si>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</si>
  <si>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</si>
  <si>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</si>
  <si>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</si>
  <si>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</si>
  <si>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</si>
  <si>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</si>
  <si>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</si>
  <si>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</si>
  <si>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</si>
  <si>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</si>
  <si>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</si>
  <si>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</si>
  <si>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</si>
  <si>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</si>
  <si>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</si>
  <si>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</si>
  <si>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</si>
  <si>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</si>
  <si>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</si>
  <si>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</si>
  <si>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</si>
  <si>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</si>
  <si>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</si>
  <si>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</si>
  <si>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</si>
  <si>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</si>
  <si>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</si>
  <si>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</si>
  <si>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</si>
  <si>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</si>
  <si>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</si>
  <si>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</si>
  <si>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</si>
  <si>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</si>
  <si>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</si>
  <si>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</si>
  <si>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</si>
  <si>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</si>
  <si>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</si>
  <si>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</si>
  <si>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</si>
  <si>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</si>
  <si>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</si>
  <si>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</si>
  <si>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</si>
  <si>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</si>
  <si>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</si>
  <si>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</si>
  <si>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</si>
  <si>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</si>
  <si>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</si>
  <si>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</si>
  <si>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</si>
  <si>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</si>
  <si>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</si>
  <si>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</si>
  <si>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</si>
  <si>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</si>
  <si>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</si>
  <si>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</si>
  <si>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</si>
  <si>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</si>
  <si>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</si>
  <si>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</si>
  <si>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</si>
  <si>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</si>
  <si>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</si>
  <si>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</si>
  <si>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</si>
  <si>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</si>
  <si>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</si>
  <si>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</si>
  <si>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</si>
  <si>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</si>
  <si>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</si>
  <si>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</si>
  <si>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</si>
  <si>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</si>
  <si>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</si>
  <si>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</si>
  <si>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</si>
  <si>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</si>
  <si>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</si>
  <si>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</si>
  <si>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</si>
  <si>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</si>
  <si>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</si>
  <si>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</si>
  <si>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</si>
  <si>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</si>
  <si>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</si>
  <si>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</si>
  <si>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</si>
  <si>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</si>
  <si>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</si>
  <si>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</si>
  <si>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</si>
  <si>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</si>
  <si>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</si>
  <si>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</si>
  <si>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</si>
  <si>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</si>
  <si>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</si>
  <si>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</si>
  <si>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</si>
  <si>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</si>
  <si>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</si>
  <si>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</si>
  <si>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</si>
  <si>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</si>
  <si>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</si>
  <si>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</si>
  <si>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</si>
  <si>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</si>
  <si>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</si>
  <si>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</si>
  <si>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</si>
  <si>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</si>
  <si>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</si>
  <si>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</si>
  <si>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</si>
  <si>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</si>
  <si>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</si>
  <si>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</si>
  <si>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</si>
  <si>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</si>
  <si>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</si>
  <si>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</si>
  <si>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</si>
  <si>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</si>
  <si>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</si>
  <si>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</si>
  <si>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</si>
  <si>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</si>
  <si>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</si>
  <si>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</si>
  <si>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</si>
  <si>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</si>
  <si>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</si>
  <si>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</si>
  <si>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</si>
  <si>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</si>
  <si>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</si>
  <si>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</si>
  <si>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</si>
  <si>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</si>
  <si>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</si>
  <si>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</si>
  <si>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</si>
  <si>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</si>
  <si>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</si>
  <si>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</si>
  <si>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</si>
  <si>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</si>
  <si>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</si>
  <si>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</si>
  <si>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</si>
  <si>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</si>
  <si>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</si>
  <si>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</si>
  <si>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</si>
  <si>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</si>
  <si>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</si>
  <si>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</si>
  <si>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</si>
  <si>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</si>
  <si>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</si>
  <si>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</si>
  <si>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</si>
  <si>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</si>
  <si>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</si>
  <si>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</si>
  <si>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</si>
  <si>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</si>
  <si>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</si>
  <si>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</si>
  <si>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</si>
  <si>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</si>
  <si>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</si>
  <si>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</si>
  <si>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</si>
  <si>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</si>
  <si>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</si>
  <si>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</si>
  <si>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</si>
  <si>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</si>
  <si>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</si>
  <si>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</si>
  <si>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</si>
  <si>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</si>
  <si>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</si>
  <si>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</si>
  <si>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</si>
  <si>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</si>
  <si>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</si>
  <si>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</si>
  <si>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</si>
  <si>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</si>
  <si>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</si>
  <si>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</si>
  <si>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</si>
  <si>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</si>
  <si>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</si>
  <si>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</si>
  <si>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</si>
  <si>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</si>
  <si>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</si>
  <si>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</si>
  <si>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</si>
  <si>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</si>
  <si>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</si>
  <si>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</si>
  <si>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</si>
  <si>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</si>
  <si>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</si>
  <si>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</si>
  <si>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</si>
  <si>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</si>
  <si>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</si>
  <si>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</si>
  <si>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</si>
  <si>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</si>
  <si>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</si>
  <si>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</si>
  <si>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</si>
  <si>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</si>
  <si>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</si>
  <si>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</si>
  <si>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</si>
  <si>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</si>
  <si>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</si>
  <si>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</si>
  <si>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</si>
  <si>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</si>
  <si>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</si>
  <si>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</si>
  <si>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</si>
  <si>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</si>
  <si>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</si>
  <si>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</si>
  <si>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</si>
  <si>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</si>
  <si>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</si>
  <si>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</si>
  <si>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</si>
  <si>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</si>
  <si>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</si>
  <si>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</si>
  <si>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</si>
  <si>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</si>
  <si>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</si>
  <si>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</si>
  <si>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</si>
  <si>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</si>
  <si>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</si>
  <si>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</si>
  <si>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</si>
  <si>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</si>
  <si>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</si>
  <si>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</si>
  <si>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</si>
  <si>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</si>
  <si>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</si>
  <si>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</si>
  <si>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</si>
  <si>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</si>
  <si>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</si>
  <si>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</si>
  <si>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</si>
  <si>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</si>
  <si>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</si>
  <si>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</si>
  <si>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</si>
  <si>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</si>
  <si>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</si>
  <si>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</si>
  <si>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</si>
  <si>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</si>
  <si>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</si>
  <si>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</si>
  <si>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count: number of rows contain number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</si>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</sst>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_-[$£-809]* #,##0.0_-;\-[$£-809]* #,##0.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165" fontId="0" fillId="0" borderId="12" xfId="0" applyNumberFormat="1" applyBorder="1"/>
    <xf numFmtId="9" fontId="0" fillId="0" borderId="0" xfId="0" applyNumberFormat="1"/>
    <xf numFmtId="166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EOA - Copy.xlsx]Q2 Sales by Category and Gender!PivotTable2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Category and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A-451D-9A4A-931F79DAA331}"/>
            </c:ext>
          </c:extLst>
        </c:ser>
        <c:ser>
          <c:idx val="1"/>
          <c:order val="1"/>
          <c:tx>
            <c:strRef>
              <c:f>'Q2 Sales by Category and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 Sales by Category and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FA-451D-9A4A-931F79DAA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012231"/>
        <c:axId val="2065014279"/>
      </c:barChart>
      <c:catAx>
        <c:axId val="2065012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014279"/>
        <c:crosses val="autoZero"/>
        <c:auto val="1"/>
        <c:lblAlgn val="ctr"/>
        <c:lblOffset val="100"/>
        <c:noMultiLvlLbl val="0"/>
      </c:catAx>
      <c:valAx>
        <c:axId val="206501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01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EOA - Copy.xlsx]Sheet1!PivotTable1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0.14918859649122806</c:v>
                </c:pt>
                <c:pt idx="1">
                  <c:v>0.13675438596491227</c:v>
                </c:pt>
                <c:pt idx="2">
                  <c:v>0.13004385964912279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D-4849-A1C2-A72A912750F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7.4747807017543855E-2</c:v>
                </c:pt>
                <c:pt idx="1">
                  <c:v>0.10322368421052631</c:v>
                </c:pt>
                <c:pt idx="2">
                  <c:v>0.13596491228070176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8D-4849-A1C2-A72A912750F2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Sheet1!$D$5:$D$8</c:f>
              <c:numCache>
                <c:formatCode>0.00%</c:formatCode>
                <c:ptCount val="3"/>
                <c:pt idx="0">
                  <c:v>9.0789473684210531E-2</c:v>
                </c:pt>
                <c:pt idx="1">
                  <c:v>0.10120614035087719</c:v>
                </c:pt>
                <c:pt idx="2">
                  <c:v>7.8081140350877196E-2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8D-4849-A1C2-A72A91275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475464"/>
        <c:axId val="1899477512"/>
      </c:barChart>
      <c:catAx>
        <c:axId val="189947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77512"/>
        <c:crosses val="autoZero"/>
        <c:auto val="1"/>
        <c:lblAlgn val="ctr"/>
        <c:lblOffset val="100"/>
        <c:noMultiLvlLbl val="0"/>
      </c:catAx>
      <c:valAx>
        <c:axId val="189947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7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8</xdr:row>
      <xdr:rowOff>85725</xdr:rowOff>
    </xdr:from>
    <xdr:to>
      <xdr:col>4</xdr:col>
      <xdr:colOff>438150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6D48C4-F0BE-1401-92E7-128990DBE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1209675</xdr:colOff>
      <xdr:row>8</xdr:row>
      <xdr:rowOff>66675</xdr:rowOff>
    </xdr:from>
    <xdr:to>
      <xdr:col>3</xdr:col>
      <xdr:colOff>847725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8879C-9AC5-5DEB-123A-4D2A8D5BA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381000</xdr:colOff>
      <xdr:row>1</xdr:row>
      <xdr:rowOff>161925</xdr:rowOff>
    </xdr:from>
    <xdr:to>
      <xdr:col>8</xdr:col>
      <xdr:colOff>152400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0D05E1DA-C864-11D0-73F8-DB297B768B50}"/>
                </a:ext>
                <a:ext uri="{147F2762-F138-4A5C-976F-8EAC2B608ADB}">
                  <a16:predDERef xmlns:a16="http://schemas.microsoft.com/office/drawing/2014/main" pred="{6588879C-9AC5-5DEB-123A-4D2A8D5BAE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0625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190500</xdr:colOff>
      <xdr:row>1</xdr:row>
      <xdr:rowOff>180975</xdr:rowOff>
    </xdr:from>
    <xdr:to>
      <xdr:col>10</xdr:col>
      <xdr:colOff>647700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BC61A3D6-8193-DDF7-F33C-6DAF4A7235B0}"/>
                </a:ext>
                <a:ext uri="{147F2762-F138-4A5C-976F-8EAC2B608ADB}">
                  <a16:predDERef xmlns:a16="http://schemas.microsoft.com/office/drawing/2014/main" pred="{0D05E1DA-C864-11D0-73F8-DB297B768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7525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666750</xdr:colOff>
      <xdr:row>15</xdr:row>
      <xdr:rowOff>85725</xdr:rowOff>
    </xdr:from>
    <xdr:to>
      <xdr:col>8</xdr:col>
      <xdr:colOff>438150</xdr:colOff>
      <xdr:row>28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der">
              <a:extLst>
                <a:ext uri="{FF2B5EF4-FFF2-40B4-BE49-F238E27FC236}">
                  <a16:creationId xmlns:a16="http://schemas.microsoft.com/office/drawing/2014/main" id="{33F3DC13-FB8A-2D45-C358-6CC818C90F69}"/>
                </a:ext>
                <a:ext uri="{147F2762-F138-4A5C-976F-8EAC2B608ADB}">
                  <a16:predDERef xmlns:a16="http://schemas.microsoft.com/office/drawing/2014/main" pred="{BC61A3D6-8193-DDF7-F33C-6DAF4A7235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6375" y="3086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32209953702" createdVersion="8" refreshedVersion="8" minRefreshableVersion="3" recordCount="1000" xr:uid="{A8B089E1-AB95-41A5-B5B3-3289AA0F19E8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Young Adult"/>
        <s v="Adult"/>
        <s v="Senior"/>
      </sharedItems>
    </cacheField>
    <cacheField name="Product 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/>
    </cacheField>
    <cacheField name="Commission 2023" numFmtId="165">
      <sharedItems containsSemiMixedTypes="0" containsString="0" containsNumber="1" minValue="0.5" maxValue="40"/>
    </cacheField>
    <cacheField name="Commission 2024" numFmtId="165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65938031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"/>
    <n v="27"/>
    <n v="2"/>
    <n v="2023"/>
    <d v="2023-02-27T00:00:00"/>
    <s v="CUST002"/>
    <x v="0"/>
    <n v="26"/>
    <x v="0"/>
    <x v="0"/>
    <n v="2"/>
    <n v="500"/>
    <n v="1000"/>
    <n v="20"/>
    <n v="0"/>
  </r>
  <r>
    <n v="522"/>
    <n v="1"/>
    <n v="1"/>
    <n v="2023"/>
    <d v="2023-01-01T00:00:00"/>
    <s v="CUST522"/>
    <x v="1"/>
    <n v="46"/>
    <x v="1"/>
    <x v="1"/>
    <n v="3"/>
    <n v="500"/>
    <n v="1500"/>
    <n v="30"/>
    <n v="0"/>
  </r>
  <r>
    <n v="4"/>
    <n v="21"/>
    <n v="5"/>
    <n v="2023"/>
    <d v="2023-05-21T00:00:00"/>
    <s v="CUST004"/>
    <x v="1"/>
    <n v="37"/>
    <x v="1"/>
    <x v="0"/>
    <n v="1"/>
    <n v="500"/>
    <n v="500"/>
    <n v="10"/>
    <n v="0"/>
  </r>
  <r>
    <n v="7"/>
    <n v="13"/>
    <n v="3"/>
    <n v="2023"/>
    <d v="2023-03-13T00:00:00"/>
    <s v="CUST007"/>
    <x v="1"/>
    <n v="46"/>
    <x v="1"/>
    <x v="0"/>
    <n v="2"/>
    <n v="25"/>
    <n v="50"/>
    <n v="1"/>
    <n v="0"/>
  </r>
  <r>
    <n v="11"/>
    <n v="14"/>
    <n v="2"/>
    <n v="2023"/>
    <d v="2023-02-14T00:00:00"/>
    <s v="CUST011"/>
    <x v="1"/>
    <n v="23"/>
    <x v="0"/>
    <x v="0"/>
    <n v="2"/>
    <n v="50"/>
    <n v="100"/>
    <n v="2"/>
    <n v="0"/>
  </r>
  <r>
    <n v="10"/>
    <n v="7"/>
    <n v="10"/>
    <n v="2023"/>
    <d v="2023-10-07T00:00:00"/>
    <s v="CUST010"/>
    <x v="0"/>
    <n v="52"/>
    <x v="2"/>
    <x v="0"/>
    <n v="4"/>
    <n v="50"/>
    <n v="200"/>
    <n v="4"/>
    <n v="0"/>
  </r>
  <r>
    <n v="13"/>
    <n v="5"/>
    <n v="8"/>
    <n v="2023"/>
    <d v="2023-08-05T00:00:00"/>
    <s v="CUST013"/>
    <x v="1"/>
    <n v="22"/>
    <x v="0"/>
    <x v="2"/>
    <n v="3"/>
    <n v="500"/>
    <n v="1500"/>
    <n v="30"/>
    <n v="0"/>
  </r>
  <r>
    <n v="610"/>
    <n v="3"/>
    <n v="1"/>
    <n v="2023"/>
    <d v="2023-01-03T00:00:00"/>
    <s v="CUST610"/>
    <x v="0"/>
    <n v="26"/>
    <x v="0"/>
    <x v="1"/>
    <n v="2"/>
    <n v="300"/>
    <n v="600"/>
    <n v="12"/>
    <n v="0"/>
  </r>
  <r>
    <n v="32"/>
    <n v="4"/>
    <n v="1"/>
    <n v="2023"/>
    <d v="2023-01-04T00:00:00"/>
    <s v="CUST032"/>
    <x v="1"/>
    <n v="30"/>
    <x v="1"/>
    <x v="1"/>
    <n v="3"/>
    <n v="30"/>
    <n v="90"/>
    <n v="1.8"/>
    <n v="0"/>
  </r>
  <r>
    <n v="16"/>
    <n v="17"/>
    <n v="2"/>
    <n v="2023"/>
    <d v="2023-02-17T00:00:00"/>
    <s v="CUST016"/>
    <x v="1"/>
    <n v="19"/>
    <x v="0"/>
    <x v="0"/>
    <n v="3"/>
    <n v="500"/>
    <n v="1500"/>
    <n v="30"/>
    <n v="0"/>
  </r>
  <r>
    <n v="683"/>
    <n v="4"/>
    <n v="1"/>
    <n v="2023"/>
    <d v="2023-01-04T00:00:00"/>
    <s v="CUST683"/>
    <x v="1"/>
    <n v="38"/>
    <x v="1"/>
    <x v="1"/>
    <n v="2"/>
    <n v="500"/>
    <n v="1000"/>
    <n v="20"/>
    <n v="0"/>
  </r>
  <r>
    <n v="367"/>
    <n v="5"/>
    <n v="1"/>
    <n v="2023"/>
    <d v="2023-01-05T00:00:00"/>
    <s v="CUST367"/>
    <x v="0"/>
    <n v="57"/>
    <x v="2"/>
    <x v="2"/>
    <n v="1"/>
    <n v="50"/>
    <n v="50"/>
    <n v="1"/>
    <n v="0"/>
  </r>
  <r>
    <n v="20"/>
    <n v="5"/>
    <n v="11"/>
    <n v="2023"/>
    <d v="2023-11-05T00:00:00"/>
    <s v="CUST020"/>
    <x v="1"/>
    <n v="22"/>
    <x v="0"/>
    <x v="0"/>
    <n v="3"/>
    <n v="300"/>
    <n v="900"/>
    <n v="18"/>
    <n v="0"/>
  </r>
  <r>
    <n v="432"/>
    <n v="5"/>
    <n v="1"/>
    <n v="2023"/>
    <d v="2023-01-05T00:00:00"/>
    <s v="CUST432"/>
    <x v="0"/>
    <n v="60"/>
    <x v="2"/>
    <x v="2"/>
    <n v="2"/>
    <n v="500"/>
    <n v="1000"/>
    <n v="20"/>
    <n v="0"/>
  </r>
  <r>
    <n v="150"/>
    <n v="6"/>
    <n v="1"/>
    <n v="2023"/>
    <d v="2023-01-06T00:00:00"/>
    <s v="CUST150"/>
    <x v="0"/>
    <n v="58"/>
    <x v="2"/>
    <x v="2"/>
    <n v="4"/>
    <n v="30"/>
    <n v="120"/>
    <n v="2.4"/>
    <n v="0"/>
  </r>
  <r>
    <n v="14"/>
    <n v="17"/>
    <n v="1"/>
    <n v="2023"/>
    <d v="2023-01-17T00:00:00"/>
    <s v="CUST014"/>
    <x v="1"/>
    <n v="64"/>
    <x v="2"/>
    <x v="0"/>
    <n v="4"/>
    <n v="30"/>
    <n v="120"/>
    <n v="2.4"/>
    <n v="0"/>
  </r>
  <r>
    <n v="22"/>
    <n v="15"/>
    <n v="10"/>
    <n v="2023"/>
    <d v="2023-10-15T00:00:00"/>
    <s v="CUST022"/>
    <x v="1"/>
    <n v="18"/>
    <x v="0"/>
    <x v="0"/>
    <n v="2"/>
    <n v="50"/>
    <n v="100"/>
    <n v="2"/>
    <n v="0"/>
  </r>
  <r>
    <n v="921"/>
    <n v="7"/>
    <n v="1"/>
    <n v="2023"/>
    <d v="2023-01-07T00:00:00"/>
    <s v="CUST921"/>
    <x v="1"/>
    <n v="51"/>
    <x v="2"/>
    <x v="2"/>
    <n v="3"/>
    <n v="25"/>
    <n v="75"/>
    <n v="1.5"/>
    <n v="0"/>
  </r>
  <r>
    <n v="17"/>
    <n v="22"/>
    <n v="4"/>
    <n v="2023"/>
    <d v="2023-04-22T00:00:00"/>
    <s v="CUST017"/>
    <x v="0"/>
    <n v="27"/>
    <x v="0"/>
    <x v="0"/>
    <n v="4"/>
    <n v="25"/>
    <n v="100"/>
    <n v="2"/>
    <n v="0"/>
  </r>
  <r>
    <n v="907"/>
    <n v="8"/>
    <n v="1"/>
    <n v="2023"/>
    <d v="2023-01-08T00:00:00"/>
    <s v="CUST907"/>
    <x v="0"/>
    <n v="45"/>
    <x v="1"/>
    <x v="2"/>
    <n v="1"/>
    <n v="25"/>
    <n v="25"/>
    <n v="0.5"/>
    <n v="0"/>
  </r>
  <r>
    <n v="19"/>
    <n v="16"/>
    <n v="9"/>
    <n v="2023"/>
    <d v="2023-09-16T00:00:00"/>
    <s v="CUST019"/>
    <x v="0"/>
    <n v="62"/>
    <x v="2"/>
    <x v="0"/>
    <n v="2"/>
    <n v="25"/>
    <n v="50"/>
    <n v="1"/>
    <n v="0"/>
  </r>
  <r>
    <n v="184"/>
    <n v="10"/>
    <n v="1"/>
    <n v="2023"/>
    <d v="2023-01-10T00:00:00"/>
    <s v="CUST184"/>
    <x v="1"/>
    <n v="31"/>
    <x v="1"/>
    <x v="2"/>
    <n v="4"/>
    <n v="50"/>
    <n v="200"/>
    <n v="4"/>
    <n v="0"/>
  </r>
  <r>
    <n v="37"/>
    <n v="23"/>
    <n v="5"/>
    <n v="2023"/>
    <d v="2023-05-23T00:00:00"/>
    <s v="CUST037"/>
    <x v="0"/>
    <n v="18"/>
    <x v="0"/>
    <x v="1"/>
    <n v="3"/>
    <n v="25"/>
    <n v="75"/>
    <n v="1.5"/>
    <n v="0"/>
  </r>
  <r>
    <n v="225"/>
    <n v="11"/>
    <n v="1"/>
    <n v="2023"/>
    <d v="2023-01-11T00:00:00"/>
    <s v="CUST225"/>
    <x v="0"/>
    <n v="57"/>
    <x v="2"/>
    <x v="1"/>
    <n v="4"/>
    <n v="25"/>
    <n v="100"/>
    <n v="2"/>
    <n v="0"/>
  </r>
  <r>
    <n v="39"/>
    <n v="21"/>
    <n v="4"/>
    <n v="2023"/>
    <d v="2023-04-21T00:00:00"/>
    <s v="CUST039"/>
    <x v="1"/>
    <n v="23"/>
    <x v="0"/>
    <x v="0"/>
    <n v="4"/>
    <n v="30"/>
    <n v="120"/>
    <n v="2.4"/>
    <n v="0"/>
  </r>
  <r>
    <n v="42"/>
    <n v="17"/>
    <n v="2"/>
    <n v="2023"/>
    <d v="2023-02-17T00:00:00"/>
    <s v="CUST042"/>
    <x v="1"/>
    <n v="22"/>
    <x v="0"/>
    <x v="0"/>
    <n v="3"/>
    <n v="300"/>
    <n v="900"/>
    <n v="18"/>
    <n v="0"/>
  </r>
  <r>
    <n v="3"/>
    <n v="13"/>
    <n v="1"/>
    <n v="2023"/>
    <d v="2023-01-13T00:00:00"/>
    <s v="CUST003"/>
    <x v="1"/>
    <n v="50"/>
    <x v="2"/>
    <x v="2"/>
    <n v="1"/>
    <n v="30"/>
    <n v="30"/>
    <n v="0.6"/>
    <n v="0"/>
  </r>
  <r>
    <n v="464"/>
    <n v="13"/>
    <n v="1"/>
    <n v="2023"/>
    <d v="2023-01-13T00:00:00"/>
    <s v="CUST464"/>
    <x v="1"/>
    <n v="38"/>
    <x v="1"/>
    <x v="2"/>
    <n v="2"/>
    <n v="300"/>
    <n v="600"/>
    <n v="12"/>
    <n v="0"/>
  </r>
  <r>
    <n v="23"/>
    <n v="12"/>
    <n v="4"/>
    <n v="2023"/>
    <d v="2023-04-12T00:00:00"/>
    <s v="CUST023"/>
    <x v="0"/>
    <n v="35"/>
    <x v="1"/>
    <x v="0"/>
    <n v="4"/>
    <n v="30"/>
    <n v="120"/>
    <n v="2.4"/>
    <n v="0"/>
  </r>
  <r>
    <n v="591"/>
    <n v="13"/>
    <n v="1"/>
    <n v="2023"/>
    <d v="2023-01-13T00:00:00"/>
    <s v="CUST591"/>
    <x v="1"/>
    <n v="53"/>
    <x v="2"/>
    <x v="2"/>
    <n v="4"/>
    <n v="25"/>
    <n v="100"/>
    <n v="2"/>
    <n v="0"/>
  </r>
  <r>
    <n v="21"/>
    <n v="14"/>
    <n v="1"/>
    <n v="2023"/>
    <d v="2023-01-14T00:00:00"/>
    <s v="CUST021"/>
    <x v="0"/>
    <n v="50"/>
    <x v="2"/>
    <x v="1"/>
    <n v="1"/>
    <n v="500"/>
    <n v="500"/>
    <n v="10"/>
    <n v="0"/>
  </r>
  <r>
    <n v="708"/>
    <n v="14"/>
    <n v="1"/>
    <n v="2023"/>
    <d v="2023-01-14T00:00:00"/>
    <s v="CUST708"/>
    <x v="0"/>
    <n v="43"/>
    <x v="1"/>
    <x v="1"/>
    <n v="3"/>
    <n v="300"/>
    <n v="900"/>
    <n v="18"/>
    <n v="0"/>
  </r>
  <r>
    <n v="713"/>
    <n v="14"/>
    <n v="1"/>
    <n v="2023"/>
    <d v="2023-01-14T00:00:00"/>
    <s v="CUST713"/>
    <x v="1"/>
    <n v="34"/>
    <x v="1"/>
    <x v="1"/>
    <n v="3"/>
    <n v="25"/>
    <n v="75"/>
    <n v="1.5"/>
    <n v="0"/>
  </r>
  <r>
    <n v="44"/>
    <n v="19"/>
    <n v="2"/>
    <n v="2023"/>
    <d v="2023-02-19T00:00:00"/>
    <s v="CUST044"/>
    <x v="0"/>
    <n v="22"/>
    <x v="0"/>
    <x v="0"/>
    <n v="1"/>
    <n v="25"/>
    <n v="25"/>
    <n v="0.5"/>
    <n v="0"/>
  </r>
  <r>
    <n v="499"/>
    <n v="15"/>
    <n v="1"/>
    <n v="2023"/>
    <d v="2023-01-15T00:00:00"/>
    <s v="CUST499"/>
    <x v="1"/>
    <n v="46"/>
    <x v="1"/>
    <x v="1"/>
    <n v="2"/>
    <n v="30"/>
    <n v="60"/>
    <n v="1.2"/>
    <n v="0"/>
  </r>
  <r>
    <n v="24"/>
    <n v="29"/>
    <n v="11"/>
    <n v="2023"/>
    <d v="2023-11-29T00:00:00"/>
    <s v="CUST024"/>
    <x v="0"/>
    <n v="49"/>
    <x v="1"/>
    <x v="0"/>
    <n v="1"/>
    <n v="300"/>
    <n v="300"/>
    <n v="6"/>
    <n v="0"/>
  </r>
  <r>
    <n v="831"/>
    <n v="15"/>
    <n v="1"/>
    <n v="2023"/>
    <d v="2023-01-15T00:00:00"/>
    <s v="CUST831"/>
    <x v="1"/>
    <n v="27"/>
    <x v="0"/>
    <x v="2"/>
    <n v="4"/>
    <n v="25"/>
    <n v="100"/>
    <n v="2"/>
    <n v="0"/>
  </r>
  <r>
    <n v="15"/>
    <n v="16"/>
    <n v="1"/>
    <n v="2023"/>
    <d v="2023-01-16T00:00:00"/>
    <s v="CUST015"/>
    <x v="0"/>
    <n v="42"/>
    <x v="1"/>
    <x v="2"/>
    <n v="4"/>
    <n v="500"/>
    <n v="2000"/>
    <n v="40"/>
    <n v="0"/>
  </r>
  <r>
    <n v="743"/>
    <n v="16"/>
    <n v="1"/>
    <n v="2023"/>
    <d v="2023-01-16T00:00:00"/>
    <s v="CUST743"/>
    <x v="0"/>
    <n v="34"/>
    <x v="1"/>
    <x v="1"/>
    <n v="4"/>
    <n v="500"/>
    <n v="2000"/>
    <n v="40"/>
    <n v="0"/>
  </r>
  <r>
    <n v="34"/>
    <n v="24"/>
    <n v="12"/>
    <n v="2023"/>
    <d v="2023-12-24T00:00:00"/>
    <s v="CUST034"/>
    <x v="0"/>
    <n v="51"/>
    <x v="2"/>
    <x v="0"/>
    <n v="3"/>
    <n v="50"/>
    <n v="150"/>
    <n v="3"/>
    <n v="0"/>
  </r>
  <r>
    <n v="46"/>
    <n v="26"/>
    <n v="6"/>
    <n v="2023"/>
    <d v="2023-06-26T00:00:00"/>
    <s v="CUST046"/>
    <x v="0"/>
    <n v="20"/>
    <x v="0"/>
    <x v="2"/>
    <n v="4"/>
    <n v="300"/>
    <n v="1200"/>
    <n v="24"/>
    <n v="0"/>
  </r>
  <r>
    <n v="238"/>
    <n v="17"/>
    <n v="1"/>
    <n v="2023"/>
    <d v="2023-01-17T00:00:00"/>
    <s v="CUST238"/>
    <x v="0"/>
    <n v="39"/>
    <x v="1"/>
    <x v="1"/>
    <n v="1"/>
    <n v="500"/>
    <n v="500"/>
    <n v="10"/>
    <n v="0"/>
  </r>
  <r>
    <n v="41"/>
    <n v="22"/>
    <n v="2"/>
    <n v="2023"/>
    <d v="2023-02-22T00:00:00"/>
    <s v="CUST041"/>
    <x v="1"/>
    <n v="34"/>
    <x v="1"/>
    <x v="0"/>
    <n v="2"/>
    <n v="25"/>
    <n v="50"/>
    <n v="1"/>
    <n v="0"/>
  </r>
  <r>
    <n v="58"/>
    <n v="13"/>
    <n v="11"/>
    <n v="2023"/>
    <d v="2023-11-13T00:00:00"/>
    <s v="CUST058"/>
    <x v="1"/>
    <n v="18"/>
    <x v="0"/>
    <x v="0"/>
    <n v="4"/>
    <n v="300"/>
    <n v="1200"/>
    <n v="24"/>
    <n v="0"/>
  </r>
  <r>
    <n v="43"/>
    <n v="14"/>
    <n v="7"/>
    <n v="2023"/>
    <d v="2023-07-14T00:00:00"/>
    <s v="CUST043"/>
    <x v="0"/>
    <n v="48"/>
    <x v="1"/>
    <x v="0"/>
    <n v="1"/>
    <n v="300"/>
    <n v="300"/>
    <n v="6"/>
    <n v="0"/>
  </r>
  <r>
    <n v="61"/>
    <n v="9"/>
    <n v="4"/>
    <n v="2023"/>
    <d v="2023-04-09T00:00:00"/>
    <s v="CUST061"/>
    <x v="1"/>
    <n v="21"/>
    <x v="0"/>
    <x v="1"/>
    <n v="4"/>
    <n v="50"/>
    <n v="200"/>
    <n v="4"/>
    <n v="0"/>
  </r>
  <r>
    <n v="344"/>
    <n v="21"/>
    <n v="1"/>
    <n v="2023"/>
    <d v="2023-01-21T00:00:00"/>
    <s v="CUST344"/>
    <x v="0"/>
    <n v="42"/>
    <x v="1"/>
    <x v="1"/>
    <n v="1"/>
    <n v="30"/>
    <n v="30"/>
    <n v="0.6"/>
    <n v="0"/>
  </r>
  <r>
    <n v="448"/>
    <n v="21"/>
    <n v="1"/>
    <n v="2023"/>
    <d v="2023-01-21T00:00:00"/>
    <s v="CUST448"/>
    <x v="0"/>
    <n v="54"/>
    <x v="2"/>
    <x v="1"/>
    <n v="2"/>
    <n v="30"/>
    <n v="60"/>
    <n v="1.2"/>
    <n v="0"/>
  </r>
  <r>
    <n v="742"/>
    <n v="21"/>
    <n v="1"/>
    <n v="2023"/>
    <d v="2023-01-21T00:00:00"/>
    <s v="CUST742"/>
    <x v="0"/>
    <n v="38"/>
    <x v="1"/>
    <x v="2"/>
    <n v="4"/>
    <n v="500"/>
    <n v="2000"/>
    <n v="40"/>
    <n v="0"/>
  </r>
  <r>
    <n v="445"/>
    <n v="22"/>
    <n v="1"/>
    <n v="2023"/>
    <d v="2023-01-22T00:00:00"/>
    <s v="CUST445"/>
    <x v="0"/>
    <n v="53"/>
    <x v="2"/>
    <x v="2"/>
    <n v="1"/>
    <n v="300"/>
    <n v="300"/>
    <n v="6"/>
    <n v="0"/>
  </r>
  <r>
    <n v="787"/>
    <n v="22"/>
    <n v="1"/>
    <n v="2023"/>
    <d v="2023-01-22T00:00:00"/>
    <s v="CUST787"/>
    <x v="1"/>
    <n v="41"/>
    <x v="1"/>
    <x v="2"/>
    <n v="1"/>
    <n v="25"/>
    <n v="25"/>
    <n v="0.5"/>
    <n v="0"/>
  </r>
  <r>
    <n v="49"/>
    <n v="23"/>
    <n v="1"/>
    <n v="2023"/>
    <d v="2023-01-23T00:00:00"/>
    <s v="CUST049"/>
    <x v="0"/>
    <n v="54"/>
    <x v="2"/>
    <x v="2"/>
    <n v="2"/>
    <n v="500"/>
    <n v="1000"/>
    <n v="20"/>
    <n v="0"/>
  </r>
  <r>
    <n v="62"/>
    <n v="27"/>
    <n v="12"/>
    <n v="2023"/>
    <d v="2023-12-27T00:00:00"/>
    <s v="CUST062"/>
    <x v="1"/>
    <n v="18"/>
    <x v="0"/>
    <x v="1"/>
    <n v="2"/>
    <n v="50"/>
    <n v="100"/>
    <n v="2"/>
    <n v="0"/>
  </r>
  <r>
    <n v="519"/>
    <n v="23"/>
    <n v="1"/>
    <n v="2023"/>
    <d v="2023-01-23T00:00:00"/>
    <s v="CUST519"/>
    <x v="0"/>
    <n v="36"/>
    <x v="1"/>
    <x v="2"/>
    <n v="4"/>
    <n v="30"/>
    <n v="120"/>
    <n v="2.4"/>
    <n v="0"/>
  </r>
  <r>
    <n v="56"/>
    <n v="31"/>
    <n v="5"/>
    <n v="2023"/>
    <d v="2023-05-31T00:00:00"/>
    <s v="CUST056"/>
    <x v="0"/>
    <n v="26"/>
    <x v="0"/>
    <x v="0"/>
    <n v="3"/>
    <n v="300"/>
    <n v="900"/>
    <n v="18"/>
    <n v="0"/>
  </r>
  <r>
    <n v="592"/>
    <n v="24"/>
    <n v="1"/>
    <n v="2023"/>
    <d v="2023-01-24T00:00:00"/>
    <s v="CUST592"/>
    <x v="0"/>
    <n v="46"/>
    <x v="1"/>
    <x v="1"/>
    <n v="4"/>
    <n v="500"/>
    <n v="2000"/>
    <n v="40"/>
    <n v="0"/>
  </r>
  <r>
    <n v="912"/>
    <n v="24"/>
    <n v="1"/>
    <n v="2023"/>
    <d v="2023-01-24T00:00:00"/>
    <s v="CUST912"/>
    <x v="1"/>
    <n v="51"/>
    <x v="2"/>
    <x v="1"/>
    <n v="3"/>
    <n v="50"/>
    <n v="150"/>
    <n v="3"/>
    <n v="0"/>
  </r>
  <r>
    <n v="134"/>
    <n v="25"/>
    <n v="1"/>
    <n v="2023"/>
    <d v="2023-01-25T00:00:00"/>
    <s v="CUST134"/>
    <x v="1"/>
    <n v="49"/>
    <x v="1"/>
    <x v="2"/>
    <n v="1"/>
    <n v="50"/>
    <n v="50"/>
    <n v="1"/>
    <n v="0"/>
  </r>
  <r>
    <n v="72"/>
    <n v="23"/>
    <n v="5"/>
    <n v="2023"/>
    <d v="2023-05-23T00:00:00"/>
    <s v="CUST072"/>
    <x v="0"/>
    <n v="20"/>
    <x v="0"/>
    <x v="2"/>
    <n v="4"/>
    <n v="500"/>
    <n v="2000"/>
    <n v="40"/>
    <n v="0"/>
  </r>
  <r>
    <n v="323"/>
    <n v="26"/>
    <n v="1"/>
    <n v="2023"/>
    <d v="2023-01-26T00:00:00"/>
    <s v="CUST323"/>
    <x v="0"/>
    <n v="29"/>
    <x v="0"/>
    <x v="1"/>
    <n v="3"/>
    <n v="300"/>
    <n v="900"/>
    <n v="18"/>
    <n v="0"/>
  </r>
  <r>
    <n v="618"/>
    <n v="26"/>
    <n v="1"/>
    <n v="2023"/>
    <d v="2023-01-26T00:00:00"/>
    <s v="CUST618"/>
    <x v="0"/>
    <n v="27"/>
    <x v="0"/>
    <x v="1"/>
    <n v="1"/>
    <n v="50"/>
    <n v="50"/>
    <n v="1"/>
    <n v="0"/>
  </r>
  <r>
    <n v="720"/>
    <n v="26"/>
    <n v="1"/>
    <n v="2023"/>
    <d v="2023-01-26T00:00:00"/>
    <s v="CUST720"/>
    <x v="0"/>
    <n v="56"/>
    <x v="2"/>
    <x v="1"/>
    <n v="3"/>
    <n v="500"/>
    <n v="1500"/>
    <n v="30"/>
    <n v="0"/>
  </r>
  <r>
    <n v="59"/>
    <n v="5"/>
    <n v="7"/>
    <n v="2023"/>
    <d v="2023-07-05T00:00:00"/>
    <s v="CUST059"/>
    <x v="1"/>
    <n v="62"/>
    <x v="2"/>
    <x v="0"/>
    <n v="1"/>
    <n v="50"/>
    <n v="50"/>
    <n v="1"/>
    <n v="0"/>
  </r>
  <r>
    <n v="64"/>
    <n v="24"/>
    <n v="1"/>
    <n v="2023"/>
    <d v="2023-01-24T00:00:00"/>
    <s v="CUST064"/>
    <x v="1"/>
    <n v="49"/>
    <x v="1"/>
    <x v="0"/>
    <n v="4"/>
    <n v="25"/>
    <n v="100"/>
    <n v="2"/>
    <n v="0"/>
  </r>
  <r>
    <n v="74"/>
    <n v="22"/>
    <n v="11"/>
    <n v="2023"/>
    <d v="2023-11-22T00:00:00"/>
    <s v="CUST074"/>
    <x v="0"/>
    <n v="18"/>
    <x v="0"/>
    <x v="1"/>
    <n v="4"/>
    <n v="500"/>
    <n v="2000"/>
    <n v="40"/>
    <n v="0"/>
  </r>
  <r>
    <n v="70"/>
    <n v="21"/>
    <n v="2"/>
    <n v="2023"/>
    <d v="2023-02-21T00:00:00"/>
    <s v="CUST070"/>
    <x v="0"/>
    <n v="43"/>
    <x v="1"/>
    <x v="0"/>
    <n v="1"/>
    <n v="300"/>
    <n v="300"/>
    <n v="6"/>
    <n v="0"/>
  </r>
  <r>
    <n v="913"/>
    <n v="28"/>
    <n v="1"/>
    <n v="2023"/>
    <d v="2023-01-28T00:00:00"/>
    <s v="CUST913"/>
    <x v="1"/>
    <n v="29"/>
    <x v="0"/>
    <x v="2"/>
    <n v="3"/>
    <n v="30"/>
    <n v="90"/>
    <n v="1.8"/>
    <n v="0"/>
  </r>
  <r>
    <n v="76"/>
    <n v="25"/>
    <n v="3"/>
    <n v="2023"/>
    <d v="2023-03-25T00:00:00"/>
    <s v="CUST076"/>
    <x v="0"/>
    <n v="22"/>
    <x v="0"/>
    <x v="2"/>
    <n v="2"/>
    <n v="50"/>
    <n v="100"/>
    <n v="2"/>
    <n v="0"/>
  </r>
  <r>
    <n v="77"/>
    <n v="9"/>
    <n v="7"/>
    <n v="2023"/>
    <d v="2023-07-09T00:00:00"/>
    <s v="CUST077"/>
    <x v="0"/>
    <n v="47"/>
    <x v="1"/>
    <x v="0"/>
    <n v="2"/>
    <n v="50"/>
    <n v="100"/>
    <n v="2"/>
    <n v="0"/>
  </r>
  <r>
    <n v="189"/>
    <n v="30"/>
    <n v="1"/>
    <n v="2023"/>
    <d v="2023-01-30T00:00:00"/>
    <s v="CUST189"/>
    <x v="1"/>
    <n v="63"/>
    <x v="2"/>
    <x v="1"/>
    <n v="1"/>
    <n v="50"/>
    <n v="50"/>
    <n v="1"/>
    <n v="0"/>
  </r>
  <r>
    <n v="86"/>
    <n v="8"/>
    <n v="11"/>
    <n v="2023"/>
    <d v="2023-11-08T00:00:00"/>
    <s v="CUST086"/>
    <x v="1"/>
    <n v="19"/>
    <x v="0"/>
    <x v="1"/>
    <n v="3"/>
    <n v="30"/>
    <n v="90"/>
    <n v="1.8"/>
    <n v="0"/>
  </r>
  <r>
    <n v="322"/>
    <n v="30"/>
    <n v="1"/>
    <n v="2023"/>
    <d v="2023-01-30T00:00:00"/>
    <s v="CUST322"/>
    <x v="1"/>
    <n v="51"/>
    <x v="2"/>
    <x v="2"/>
    <n v="1"/>
    <n v="500"/>
    <n v="500"/>
    <n v="10"/>
    <n v="0"/>
  </r>
  <r>
    <n v="329"/>
    <n v="30"/>
    <n v="1"/>
    <n v="2023"/>
    <d v="2023-01-30T00:00:00"/>
    <s v="CUST329"/>
    <x v="0"/>
    <n v="46"/>
    <x v="1"/>
    <x v="2"/>
    <n v="4"/>
    <n v="25"/>
    <n v="100"/>
    <n v="2"/>
    <n v="0"/>
  </r>
  <r>
    <n v="105"/>
    <n v="25"/>
    <n v="7"/>
    <n v="2023"/>
    <d v="2023-07-25T00:00:00"/>
    <s v="CUST105"/>
    <x v="0"/>
    <n v="22"/>
    <x v="0"/>
    <x v="2"/>
    <n v="1"/>
    <n v="500"/>
    <n v="500"/>
    <n v="10"/>
    <n v="0"/>
  </r>
  <r>
    <n v="107"/>
    <n v="3"/>
    <n v="2"/>
    <n v="2023"/>
    <d v="2023-02-03T00:00:00"/>
    <s v="CUST107"/>
    <x v="0"/>
    <n v="21"/>
    <x v="0"/>
    <x v="0"/>
    <n v="4"/>
    <n v="300"/>
    <n v="1200"/>
    <n v="24"/>
    <n v="0"/>
  </r>
  <r>
    <n v="78"/>
    <n v="1"/>
    <n v="7"/>
    <n v="2023"/>
    <d v="2023-07-01T00:00:00"/>
    <s v="CUST078"/>
    <x v="0"/>
    <n v="47"/>
    <x v="1"/>
    <x v="0"/>
    <n v="3"/>
    <n v="500"/>
    <n v="1500"/>
    <n v="30"/>
    <n v="0"/>
  </r>
  <r>
    <n v="80"/>
    <n v="10"/>
    <n v="12"/>
    <n v="2023"/>
    <d v="2023-12-10T00:00:00"/>
    <s v="CUST080"/>
    <x v="0"/>
    <n v="64"/>
    <x v="2"/>
    <x v="0"/>
    <n v="2"/>
    <n v="30"/>
    <n v="60"/>
    <n v="1.2"/>
    <n v="0"/>
  </r>
  <r>
    <n v="320"/>
    <n v="1"/>
    <n v="2"/>
    <n v="2023"/>
    <d v="2023-02-01T00:00:00"/>
    <s v="CUST320"/>
    <x v="0"/>
    <n v="28"/>
    <x v="0"/>
    <x v="2"/>
    <n v="4"/>
    <n v="300"/>
    <n v="1200"/>
    <n v="24"/>
    <n v="0"/>
  </r>
  <r>
    <n v="85"/>
    <n v="6"/>
    <n v="2"/>
    <n v="2023"/>
    <d v="2023-02-06T00:00:00"/>
    <s v="CUST085"/>
    <x v="1"/>
    <n v="31"/>
    <x v="1"/>
    <x v="0"/>
    <n v="3"/>
    <n v="50"/>
    <n v="150"/>
    <n v="3"/>
    <n v="0"/>
  </r>
  <r>
    <n v="142"/>
    <n v="2"/>
    <n v="2"/>
    <n v="2023"/>
    <d v="2023-02-02T00:00:00"/>
    <s v="CUST142"/>
    <x v="1"/>
    <n v="35"/>
    <x v="1"/>
    <x v="2"/>
    <n v="4"/>
    <n v="300"/>
    <n v="1200"/>
    <n v="24"/>
    <n v="0"/>
  </r>
  <r>
    <n v="88"/>
    <n v="29"/>
    <n v="3"/>
    <n v="2023"/>
    <d v="2023-03-29T00:00:00"/>
    <s v="CUST088"/>
    <x v="1"/>
    <n v="56"/>
    <x v="2"/>
    <x v="0"/>
    <n v="1"/>
    <n v="500"/>
    <n v="500"/>
    <n v="10"/>
    <n v="0"/>
  </r>
  <r>
    <n v="666"/>
    <n v="2"/>
    <n v="2"/>
    <n v="2023"/>
    <d v="2023-02-02T00:00:00"/>
    <s v="CUST666"/>
    <x v="1"/>
    <n v="51"/>
    <x v="2"/>
    <x v="2"/>
    <n v="3"/>
    <n v="50"/>
    <n v="150"/>
    <n v="3"/>
    <n v="0"/>
  </r>
  <r>
    <n v="95"/>
    <n v="24"/>
    <n v="11"/>
    <n v="2023"/>
    <d v="2023-11-24T00:00:00"/>
    <s v="CUST095"/>
    <x v="0"/>
    <n v="32"/>
    <x v="1"/>
    <x v="0"/>
    <n v="2"/>
    <n v="30"/>
    <n v="60"/>
    <n v="1.2"/>
    <n v="0"/>
  </r>
  <r>
    <n v="114"/>
    <n v="22"/>
    <n v="7"/>
    <n v="2023"/>
    <d v="2023-07-22T00:00:00"/>
    <s v="CUST114"/>
    <x v="0"/>
    <n v="22"/>
    <x v="0"/>
    <x v="1"/>
    <n v="4"/>
    <n v="25"/>
    <n v="100"/>
    <n v="2"/>
    <n v="0"/>
  </r>
  <r>
    <n v="237"/>
    <n v="4"/>
    <n v="2"/>
    <n v="2023"/>
    <d v="2023-02-04T00:00:00"/>
    <s v="CUST237"/>
    <x v="0"/>
    <n v="50"/>
    <x v="2"/>
    <x v="1"/>
    <n v="2"/>
    <n v="500"/>
    <n v="1000"/>
    <n v="20"/>
    <n v="0"/>
  </r>
  <r>
    <n v="335"/>
    <n v="4"/>
    <n v="2"/>
    <n v="2023"/>
    <d v="2023-02-04T00:00:00"/>
    <s v="CUST335"/>
    <x v="0"/>
    <n v="47"/>
    <x v="1"/>
    <x v="1"/>
    <n v="4"/>
    <n v="30"/>
    <n v="120"/>
    <n v="2.4"/>
    <n v="0"/>
  </r>
  <r>
    <n v="63"/>
    <n v="5"/>
    <n v="2"/>
    <n v="2023"/>
    <d v="2023-02-05T00:00:00"/>
    <s v="CUST063"/>
    <x v="1"/>
    <n v="57"/>
    <x v="2"/>
    <x v="2"/>
    <n v="2"/>
    <n v="25"/>
    <n v="50"/>
    <n v="1"/>
    <n v="0"/>
  </r>
  <r>
    <n v="96"/>
    <n v="19"/>
    <n v="12"/>
    <n v="2023"/>
    <d v="2023-12-19T00:00:00"/>
    <s v="CUST096"/>
    <x v="0"/>
    <n v="44"/>
    <x v="1"/>
    <x v="0"/>
    <n v="2"/>
    <n v="300"/>
    <n v="600"/>
    <n v="12"/>
    <n v="0"/>
  </r>
  <r>
    <n v="333"/>
    <n v="5"/>
    <n v="2"/>
    <n v="2023"/>
    <d v="2023-02-05T00:00:00"/>
    <s v="CUST333"/>
    <x v="0"/>
    <n v="54"/>
    <x v="2"/>
    <x v="2"/>
    <n v="4"/>
    <n v="300"/>
    <n v="1200"/>
    <n v="24"/>
    <n v="0"/>
  </r>
  <r>
    <n v="101"/>
    <n v="29"/>
    <n v="1"/>
    <n v="2023"/>
    <d v="2023-01-29T00:00:00"/>
    <s v="CUST101"/>
    <x v="1"/>
    <n v="32"/>
    <x v="1"/>
    <x v="0"/>
    <n v="2"/>
    <n v="300"/>
    <n v="600"/>
    <n v="12"/>
    <n v="0"/>
  </r>
  <r>
    <n v="103"/>
    <n v="17"/>
    <n v="1"/>
    <n v="2023"/>
    <d v="2023-01-17T00:00:00"/>
    <s v="CUST103"/>
    <x v="0"/>
    <n v="59"/>
    <x v="2"/>
    <x v="0"/>
    <n v="1"/>
    <n v="25"/>
    <n v="25"/>
    <n v="0.5"/>
    <n v="0"/>
  </r>
  <r>
    <n v="116"/>
    <n v="23"/>
    <n v="8"/>
    <n v="2023"/>
    <d v="2023-08-23T00:00:00"/>
    <s v="CUST116"/>
    <x v="0"/>
    <n v="23"/>
    <x v="0"/>
    <x v="0"/>
    <n v="1"/>
    <n v="30"/>
    <n v="30"/>
    <n v="0.6"/>
    <n v="0"/>
  </r>
  <r>
    <n v="740"/>
    <n v="5"/>
    <n v="2"/>
    <n v="2023"/>
    <d v="2023-02-05T00:00:00"/>
    <s v="CUST740"/>
    <x v="0"/>
    <n v="25"/>
    <x v="0"/>
    <x v="1"/>
    <n v="4"/>
    <n v="50"/>
    <n v="200"/>
    <n v="4"/>
    <n v="0"/>
  </r>
  <r>
    <n v="793"/>
    <n v="5"/>
    <n v="2"/>
    <n v="2023"/>
    <d v="2023-02-05T00:00:00"/>
    <s v="CUST793"/>
    <x v="1"/>
    <n v="54"/>
    <x v="2"/>
    <x v="1"/>
    <n v="1"/>
    <n v="30"/>
    <n v="30"/>
    <n v="0.6"/>
    <n v="0"/>
  </r>
  <r>
    <n v="106"/>
    <n v="18"/>
    <n v="5"/>
    <n v="2023"/>
    <d v="2023-05-18T00:00:00"/>
    <s v="CUST106"/>
    <x v="0"/>
    <n v="46"/>
    <x v="1"/>
    <x v="0"/>
    <n v="1"/>
    <n v="50"/>
    <n v="50"/>
    <n v="1"/>
    <n v="0"/>
  </r>
  <r>
    <n v="232"/>
    <n v="6"/>
    <n v="2"/>
    <n v="2023"/>
    <d v="2023-02-06T00:00:00"/>
    <s v="CUST232"/>
    <x v="0"/>
    <n v="43"/>
    <x v="1"/>
    <x v="1"/>
    <n v="1"/>
    <n v="25"/>
    <n v="25"/>
    <n v="0.5"/>
    <n v="0"/>
  </r>
  <r>
    <n v="117"/>
    <n v="15"/>
    <n v="3"/>
    <n v="2023"/>
    <d v="2023-03-15T00:00:00"/>
    <s v="CUST117"/>
    <x v="1"/>
    <n v="19"/>
    <x v="0"/>
    <x v="2"/>
    <n v="2"/>
    <n v="500"/>
    <n v="1000"/>
    <n v="20"/>
    <n v="0"/>
  </r>
  <r>
    <n v="993"/>
    <n v="6"/>
    <n v="2"/>
    <n v="2023"/>
    <d v="2023-02-06T00:00:00"/>
    <s v="CUST993"/>
    <x v="0"/>
    <n v="48"/>
    <x v="1"/>
    <x v="2"/>
    <n v="3"/>
    <n v="50"/>
    <n v="150"/>
    <n v="3"/>
    <n v="0"/>
  </r>
  <r>
    <n v="129"/>
    <n v="23"/>
    <n v="4"/>
    <n v="2023"/>
    <d v="2023-04-23T00:00:00"/>
    <s v="CUST129"/>
    <x v="0"/>
    <n v="21"/>
    <x v="0"/>
    <x v="1"/>
    <n v="2"/>
    <n v="300"/>
    <n v="600"/>
    <n v="12"/>
    <n v="0"/>
  </r>
  <r>
    <n v="131"/>
    <n v="18"/>
    <n v="9"/>
    <n v="2023"/>
    <d v="2023-09-18T00:00:00"/>
    <s v="CUST131"/>
    <x v="0"/>
    <n v="21"/>
    <x v="0"/>
    <x v="1"/>
    <n v="2"/>
    <n v="300"/>
    <n v="600"/>
    <n v="12"/>
    <n v="0"/>
  </r>
  <r>
    <n v="596"/>
    <n v="7"/>
    <n v="2"/>
    <n v="2023"/>
    <d v="2023-02-07T00:00:00"/>
    <s v="CUST596"/>
    <x v="0"/>
    <n v="64"/>
    <x v="2"/>
    <x v="2"/>
    <n v="1"/>
    <n v="300"/>
    <n v="300"/>
    <n v="6"/>
    <n v="0"/>
  </r>
  <r>
    <n v="936"/>
    <n v="7"/>
    <n v="2"/>
    <n v="2023"/>
    <d v="2023-02-07T00:00:00"/>
    <s v="CUST936"/>
    <x v="1"/>
    <n v="57"/>
    <x v="2"/>
    <x v="1"/>
    <n v="4"/>
    <n v="50"/>
    <n v="200"/>
    <n v="4"/>
    <n v="0"/>
  </r>
  <r>
    <n v="110"/>
    <n v="11"/>
    <n v="6"/>
    <n v="2023"/>
    <d v="2023-06-11T00:00:00"/>
    <s v="CUST110"/>
    <x v="1"/>
    <n v="27"/>
    <x v="0"/>
    <x v="0"/>
    <n v="3"/>
    <n v="300"/>
    <n v="900"/>
    <n v="18"/>
    <n v="0"/>
  </r>
  <r>
    <n v="434"/>
    <n v="8"/>
    <n v="2"/>
    <n v="2023"/>
    <d v="2023-02-08T00:00:00"/>
    <s v="CUST434"/>
    <x v="0"/>
    <n v="43"/>
    <x v="1"/>
    <x v="2"/>
    <n v="2"/>
    <n v="25"/>
    <n v="50"/>
    <n v="1"/>
    <n v="0"/>
  </r>
  <r>
    <n v="775"/>
    <n v="8"/>
    <n v="2"/>
    <n v="2023"/>
    <d v="2023-02-08T00:00:00"/>
    <s v="CUST775"/>
    <x v="0"/>
    <n v="46"/>
    <x v="1"/>
    <x v="2"/>
    <n v="4"/>
    <n v="25"/>
    <n v="100"/>
    <n v="2"/>
    <n v="0"/>
  </r>
  <r>
    <n v="977"/>
    <n v="8"/>
    <n v="2"/>
    <n v="2023"/>
    <d v="2023-02-08T00:00:00"/>
    <s v="CUST977"/>
    <x v="0"/>
    <n v="35"/>
    <x v="1"/>
    <x v="2"/>
    <n v="3"/>
    <n v="25"/>
    <n v="75"/>
    <n v="1.5"/>
    <n v="0"/>
  </r>
  <r>
    <n v="112"/>
    <n v="2"/>
    <n v="12"/>
    <n v="2023"/>
    <d v="2023-12-02T00:00:00"/>
    <s v="CUST112"/>
    <x v="1"/>
    <n v="37"/>
    <x v="1"/>
    <x v="0"/>
    <n v="3"/>
    <n v="500"/>
    <n v="1500"/>
    <n v="30"/>
    <n v="0"/>
  </r>
  <r>
    <n v="54"/>
    <n v="10"/>
    <n v="2"/>
    <n v="2023"/>
    <d v="2023-02-10T00:00:00"/>
    <s v="CUST054"/>
    <x v="0"/>
    <n v="38"/>
    <x v="1"/>
    <x v="2"/>
    <n v="3"/>
    <n v="500"/>
    <n v="1500"/>
    <n v="30"/>
    <n v="0"/>
  </r>
  <r>
    <n v="68"/>
    <n v="10"/>
    <n v="2"/>
    <n v="2023"/>
    <d v="2023-02-10T00:00:00"/>
    <s v="CUST068"/>
    <x v="1"/>
    <n v="25"/>
    <x v="0"/>
    <x v="2"/>
    <n v="1"/>
    <n v="300"/>
    <n v="300"/>
    <n v="6"/>
    <n v="0"/>
  </r>
  <r>
    <n v="192"/>
    <n v="10"/>
    <n v="2"/>
    <n v="2023"/>
    <d v="2023-02-10T00:00:00"/>
    <s v="CUST192"/>
    <x v="1"/>
    <n v="62"/>
    <x v="2"/>
    <x v="1"/>
    <n v="2"/>
    <n v="50"/>
    <n v="100"/>
    <n v="2"/>
    <n v="0"/>
  </r>
  <r>
    <n v="331"/>
    <n v="11"/>
    <n v="2"/>
    <n v="2023"/>
    <d v="2023-02-11T00:00:00"/>
    <s v="CUST331"/>
    <x v="1"/>
    <n v="28"/>
    <x v="0"/>
    <x v="2"/>
    <n v="3"/>
    <n v="30"/>
    <n v="90"/>
    <n v="1.8"/>
    <n v="0"/>
  </r>
  <r>
    <n v="115"/>
    <n v="26"/>
    <n v="11"/>
    <n v="2023"/>
    <d v="2023-11-26T00:00:00"/>
    <s v="CUST115"/>
    <x v="1"/>
    <n v="51"/>
    <x v="2"/>
    <x v="0"/>
    <n v="3"/>
    <n v="500"/>
    <n v="1500"/>
    <n v="30"/>
    <n v="0"/>
  </r>
  <r>
    <n v="133"/>
    <n v="16"/>
    <n v="2"/>
    <n v="2023"/>
    <d v="2023-02-16T00:00:00"/>
    <s v="CUST133"/>
    <x v="1"/>
    <n v="20"/>
    <x v="0"/>
    <x v="2"/>
    <n v="3"/>
    <n v="300"/>
    <n v="900"/>
    <n v="18"/>
    <n v="0"/>
  </r>
  <r>
    <n v="732"/>
    <n v="11"/>
    <n v="2"/>
    <n v="2023"/>
    <d v="2023-02-11T00:00:00"/>
    <s v="CUST732"/>
    <x v="1"/>
    <n v="61"/>
    <x v="2"/>
    <x v="2"/>
    <n v="2"/>
    <n v="500"/>
    <n v="1000"/>
    <n v="20"/>
    <n v="0"/>
  </r>
  <r>
    <n v="972"/>
    <n v="11"/>
    <n v="2"/>
    <n v="2023"/>
    <d v="2023-02-11T00:00:00"/>
    <s v="CUST972"/>
    <x v="1"/>
    <n v="49"/>
    <x v="1"/>
    <x v="1"/>
    <n v="4"/>
    <n v="25"/>
    <n v="100"/>
    <n v="2"/>
    <n v="0"/>
  </r>
  <r>
    <n v="119"/>
    <n v="13"/>
    <n v="3"/>
    <n v="2023"/>
    <d v="2023-03-13T00:00:00"/>
    <s v="CUST119"/>
    <x v="0"/>
    <n v="60"/>
    <x v="2"/>
    <x v="0"/>
    <n v="3"/>
    <n v="50"/>
    <n v="150"/>
    <n v="3"/>
    <n v="0"/>
  </r>
  <r>
    <n v="193"/>
    <n v="13"/>
    <n v="2"/>
    <n v="2023"/>
    <d v="2023-02-13T00:00:00"/>
    <s v="CUST193"/>
    <x v="1"/>
    <n v="35"/>
    <x v="1"/>
    <x v="1"/>
    <n v="3"/>
    <n v="500"/>
    <n v="1500"/>
    <n v="30"/>
    <n v="0"/>
  </r>
  <r>
    <n v="135"/>
    <n v="26"/>
    <n v="2"/>
    <n v="2023"/>
    <d v="2023-02-26T00:00:00"/>
    <s v="CUST135"/>
    <x v="1"/>
    <n v="20"/>
    <x v="0"/>
    <x v="0"/>
    <n v="2"/>
    <n v="25"/>
    <n v="50"/>
    <n v="1"/>
    <n v="0"/>
  </r>
  <r>
    <n v="124"/>
    <n v="27"/>
    <n v="10"/>
    <n v="2023"/>
    <d v="2023-10-27T00:00:00"/>
    <s v="CUST124"/>
    <x v="1"/>
    <n v="33"/>
    <x v="1"/>
    <x v="0"/>
    <n v="4"/>
    <n v="500"/>
    <n v="2000"/>
    <n v="40"/>
    <n v="0"/>
  </r>
  <r>
    <n v="945"/>
    <n v="13"/>
    <n v="2"/>
    <n v="2023"/>
    <d v="2023-02-13T00:00:00"/>
    <s v="CUST945"/>
    <x v="1"/>
    <n v="30"/>
    <x v="1"/>
    <x v="1"/>
    <n v="1"/>
    <n v="25"/>
    <n v="25"/>
    <n v="0.5"/>
    <n v="0"/>
  </r>
  <r>
    <n v="125"/>
    <n v="8"/>
    <n v="8"/>
    <n v="2023"/>
    <d v="2023-08-08T00:00:00"/>
    <s v="CUST125"/>
    <x v="1"/>
    <n v="48"/>
    <x v="1"/>
    <x v="0"/>
    <n v="2"/>
    <n v="50"/>
    <n v="100"/>
    <n v="2"/>
    <n v="0"/>
  </r>
  <r>
    <n v="821"/>
    <n v="14"/>
    <n v="2"/>
    <n v="2023"/>
    <d v="2023-02-14T00:00:00"/>
    <s v="CUST821"/>
    <x v="1"/>
    <n v="49"/>
    <x v="1"/>
    <x v="2"/>
    <n v="1"/>
    <n v="300"/>
    <n v="300"/>
    <n v="6"/>
    <n v="0"/>
  </r>
  <r>
    <n v="141"/>
    <n v="2"/>
    <n v="11"/>
    <n v="2023"/>
    <d v="2023-11-02T00:00:00"/>
    <s v="CUST141"/>
    <x v="0"/>
    <n v="22"/>
    <x v="0"/>
    <x v="2"/>
    <n v="1"/>
    <n v="50"/>
    <n v="50"/>
    <n v="1"/>
    <n v="0"/>
  </r>
  <r>
    <n v="126"/>
    <n v="26"/>
    <n v="10"/>
    <n v="2023"/>
    <d v="2023-10-26T00:00:00"/>
    <s v="CUST126"/>
    <x v="0"/>
    <n v="28"/>
    <x v="0"/>
    <x v="0"/>
    <n v="3"/>
    <n v="30"/>
    <n v="90"/>
    <n v="1.8"/>
    <n v="0"/>
  </r>
  <r>
    <n v="127"/>
    <n v="24"/>
    <n v="7"/>
    <n v="2023"/>
    <d v="2023-07-24T00:00:00"/>
    <s v="CUST127"/>
    <x v="0"/>
    <n v="33"/>
    <x v="1"/>
    <x v="0"/>
    <n v="2"/>
    <n v="25"/>
    <n v="50"/>
    <n v="1"/>
    <n v="0"/>
  </r>
  <r>
    <n v="147"/>
    <n v="28"/>
    <n v="9"/>
    <n v="2023"/>
    <d v="2023-09-28T00:00:00"/>
    <s v="CUST147"/>
    <x v="1"/>
    <n v="23"/>
    <x v="0"/>
    <x v="2"/>
    <n v="1"/>
    <n v="300"/>
    <n v="300"/>
    <n v="6"/>
    <n v="0"/>
  </r>
  <r>
    <n v="416"/>
    <n v="17"/>
    <n v="2"/>
    <n v="2023"/>
    <d v="2023-02-17T00:00:00"/>
    <s v="CUST416"/>
    <x v="1"/>
    <n v="53"/>
    <x v="2"/>
    <x v="2"/>
    <n v="4"/>
    <n v="500"/>
    <n v="2000"/>
    <n v="40"/>
    <n v="0"/>
  </r>
  <r>
    <n v="584"/>
    <n v="17"/>
    <n v="2"/>
    <n v="2023"/>
    <d v="2023-02-17T00:00:00"/>
    <s v="CUST584"/>
    <x v="0"/>
    <n v="27"/>
    <x v="0"/>
    <x v="1"/>
    <n v="4"/>
    <n v="50"/>
    <n v="200"/>
    <n v="4"/>
    <n v="0"/>
  </r>
  <r>
    <n v="130"/>
    <n v="12"/>
    <n v="3"/>
    <n v="2023"/>
    <d v="2023-03-12T00:00:00"/>
    <s v="CUST130"/>
    <x v="0"/>
    <n v="57"/>
    <x v="2"/>
    <x v="0"/>
    <n v="1"/>
    <n v="500"/>
    <n v="500"/>
    <n v="10"/>
    <n v="0"/>
  </r>
  <r>
    <n v="148"/>
    <n v="9"/>
    <n v="5"/>
    <n v="2023"/>
    <d v="2023-05-09T00:00:00"/>
    <s v="CUST148"/>
    <x v="1"/>
    <n v="18"/>
    <x v="0"/>
    <x v="0"/>
    <n v="2"/>
    <n v="30"/>
    <n v="60"/>
    <n v="1.2"/>
    <n v="0"/>
  </r>
  <r>
    <n v="138"/>
    <n v="23"/>
    <n v="3"/>
    <n v="2023"/>
    <d v="2023-03-23T00:00:00"/>
    <s v="CUST138"/>
    <x v="1"/>
    <n v="49"/>
    <x v="1"/>
    <x v="0"/>
    <n v="4"/>
    <n v="50"/>
    <n v="200"/>
    <n v="4"/>
    <n v="0"/>
  </r>
  <r>
    <n v="149"/>
    <n v="11"/>
    <n v="10"/>
    <n v="2023"/>
    <d v="2023-10-11T00:00:00"/>
    <s v="CUST149"/>
    <x v="1"/>
    <n v="22"/>
    <x v="0"/>
    <x v="0"/>
    <n v="3"/>
    <n v="25"/>
    <n v="75"/>
    <n v="1.5"/>
    <n v="0"/>
  </r>
  <r>
    <n v="268"/>
    <n v="20"/>
    <n v="2"/>
    <n v="2023"/>
    <d v="2023-02-20T00:00:00"/>
    <s v="CUST268"/>
    <x v="0"/>
    <n v="28"/>
    <x v="0"/>
    <x v="2"/>
    <n v="1"/>
    <n v="30"/>
    <n v="30"/>
    <n v="0.6"/>
    <n v="0"/>
  </r>
  <r>
    <n v="143"/>
    <n v="17"/>
    <n v="7"/>
    <n v="2023"/>
    <d v="2023-07-17T00:00:00"/>
    <s v="CUST143"/>
    <x v="0"/>
    <n v="45"/>
    <x v="1"/>
    <x v="0"/>
    <n v="1"/>
    <n v="50"/>
    <n v="50"/>
    <n v="1"/>
    <n v="0"/>
  </r>
  <r>
    <n v="966"/>
    <n v="20"/>
    <n v="2"/>
    <n v="2023"/>
    <d v="2023-02-20T00:00:00"/>
    <s v="CUST966"/>
    <x v="1"/>
    <n v="60"/>
    <x v="2"/>
    <x v="2"/>
    <n v="2"/>
    <n v="500"/>
    <n v="1000"/>
    <n v="20"/>
    <n v="0"/>
  </r>
  <r>
    <n v="145"/>
    <n v="2"/>
    <n v="11"/>
    <n v="2023"/>
    <d v="2023-11-02T00:00:00"/>
    <s v="CUST145"/>
    <x v="0"/>
    <n v="39"/>
    <x v="1"/>
    <x v="0"/>
    <n v="3"/>
    <n v="25"/>
    <n v="75"/>
    <n v="1.5"/>
    <n v="0"/>
  </r>
  <r>
    <n v="169"/>
    <n v="17"/>
    <n v="11"/>
    <n v="2023"/>
    <d v="2023-11-17T00:00:00"/>
    <s v="CUST169"/>
    <x v="1"/>
    <n v="18"/>
    <x v="0"/>
    <x v="1"/>
    <n v="3"/>
    <n v="500"/>
    <n v="1500"/>
    <n v="30"/>
    <n v="0"/>
  </r>
  <r>
    <n v="146"/>
    <n v="28"/>
    <n v="8"/>
    <n v="2023"/>
    <d v="2023-08-28T00:00:00"/>
    <s v="CUST146"/>
    <x v="1"/>
    <n v="38"/>
    <x v="1"/>
    <x v="0"/>
    <n v="4"/>
    <n v="50"/>
    <n v="200"/>
    <n v="4"/>
    <n v="0"/>
  </r>
  <r>
    <n v="8"/>
    <n v="22"/>
    <n v="2"/>
    <n v="2023"/>
    <d v="2023-02-22T00:00:00"/>
    <s v="CUST008"/>
    <x v="1"/>
    <n v="30"/>
    <x v="1"/>
    <x v="2"/>
    <n v="4"/>
    <n v="25"/>
    <n v="100"/>
    <n v="2"/>
    <n v="0"/>
  </r>
  <r>
    <n v="181"/>
    <n v="3"/>
    <n v="11"/>
    <n v="2023"/>
    <d v="2023-11-03T00:00:00"/>
    <s v="CUST181"/>
    <x v="1"/>
    <n v="19"/>
    <x v="0"/>
    <x v="2"/>
    <n v="4"/>
    <n v="300"/>
    <n v="1200"/>
    <n v="24"/>
    <n v="0"/>
  </r>
  <r>
    <n v="454"/>
    <n v="22"/>
    <n v="2"/>
    <n v="2023"/>
    <d v="2023-02-22T00:00:00"/>
    <s v="CUST454"/>
    <x v="0"/>
    <n v="46"/>
    <x v="1"/>
    <x v="1"/>
    <n v="1"/>
    <n v="25"/>
    <n v="25"/>
    <n v="0.5"/>
    <n v="0"/>
  </r>
  <r>
    <n v="780"/>
    <n v="22"/>
    <n v="2"/>
    <n v="2023"/>
    <d v="2023-02-22T00:00:00"/>
    <s v="CUST780"/>
    <x v="1"/>
    <n v="52"/>
    <x v="2"/>
    <x v="2"/>
    <n v="2"/>
    <n v="25"/>
    <n v="50"/>
    <n v="1"/>
    <n v="0"/>
  </r>
  <r>
    <n v="920"/>
    <n v="22"/>
    <n v="2"/>
    <n v="2023"/>
    <d v="2023-02-22T00:00:00"/>
    <s v="CUST920"/>
    <x v="0"/>
    <n v="28"/>
    <x v="0"/>
    <x v="1"/>
    <n v="3"/>
    <n v="25"/>
    <n v="75"/>
    <n v="1.5"/>
    <n v="0"/>
  </r>
  <r>
    <n v="396"/>
    <n v="23"/>
    <n v="2"/>
    <n v="2023"/>
    <d v="2023-02-23T00:00:00"/>
    <s v="CUST396"/>
    <x v="0"/>
    <n v="55"/>
    <x v="2"/>
    <x v="1"/>
    <n v="1"/>
    <n v="30"/>
    <n v="30"/>
    <n v="0.6"/>
    <n v="0"/>
  </r>
  <r>
    <n v="185"/>
    <n v="27"/>
    <n v="2"/>
    <n v="2023"/>
    <d v="2023-02-27T00:00:00"/>
    <s v="CUST185"/>
    <x v="1"/>
    <n v="24"/>
    <x v="0"/>
    <x v="0"/>
    <n v="1"/>
    <n v="25"/>
    <n v="25"/>
    <n v="0.5"/>
    <n v="0"/>
  </r>
  <r>
    <n v="151"/>
    <n v="15"/>
    <n v="12"/>
    <n v="2023"/>
    <d v="2023-12-15T00:00:00"/>
    <s v="CUST151"/>
    <x v="1"/>
    <n v="29"/>
    <x v="0"/>
    <x v="0"/>
    <n v="1"/>
    <n v="50"/>
    <n v="50"/>
    <n v="1"/>
    <n v="0"/>
  </r>
  <r>
    <n v="611"/>
    <n v="24"/>
    <n v="2"/>
    <n v="2023"/>
    <d v="2023-02-24T00:00:00"/>
    <s v="CUST611"/>
    <x v="1"/>
    <n v="51"/>
    <x v="2"/>
    <x v="1"/>
    <n v="3"/>
    <n v="500"/>
    <n v="1500"/>
    <n v="30"/>
    <n v="0"/>
  </r>
  <r>
    <n v="156"/>
    <n v="25"/>
    <n v="11"/>
    <n v="2023"/>
    <d v="2023-11-25T00:00:00"/>
    <s v="CUST156"/>
    <x v="0"/>
    <n v="43"/>
    <x v="1"/>
    <x v="0"/>
    <n v="4"/>
    <n v="25"/>
    <n v="100"/>
    <n v="2"/>
    <n v="0"/>
  </r>
  <r>
    <n v="272"/>
    <n v="25"/>
    <n v="2"/>
    <n v="2023"/>
    <d v="2023-02-25T00:00:00"/>
    <s v="CUST272"/>
    <x v="0"/>
    <n v="61"/>
    <x v="2"/>
    <x v="2"/>
    <n v="2"/>
    <n v="50"/>
    <n v="100"/>
    <n v="2"/>
    <n v="0"/>
  </r>
  <r>
    <n v="473"/>
    <n v="25"/>
    <n v="2"/>
    <n v="2023"/>
    <d v="2023-02-25T00:00:00"/>
    <s v="CUST473"/>
    <x v="1"/>
    <n v="64"/>
    <x v="2"/>
    <x v="1"/>
    <n v="1"/>
    <n v="50"/>
    <n v="50"/>
    <n v="1"/>
    <n v="0"/>
  </r>
  <r>
    <n v="506"/>
    <n v="25"/>
    <n v="2"/>
    <n v="2023"/>
    <d v="2023-02-25T00:00:00"/>
    <s v="CUST506"/>
    <x v="1"/>
    <n v="34"/>
    <x v="1"/>
    <x v="1"/>
    <n v="3"/>
    <n v="500"/>
    <n v="1500"/>
    <n v="30"/>
    <n v="0"/>
  </r>
  <r>
    <n v="766"/>
    <n v="25"/>
    <n v="2"/>
    <n v="2023"/>
    <d v="2023-02-25T00:00:00"/>
    <s v="CUST766"/>
    <x v="1"/>
    <n v="38"/>
    <x v="1"/>
    <x v="2"/>
    <n v="3"/>
    <n v="300"/>
    <n v="900"/>
    <n v="18"/>
    <n v="0"/>
  </r>
  <r>
    <n v="159"/>
    <n v="31"/>
    <n v="5"/>
    <n v="2023"/>
    <d v="2023-05-31T00:00:00"/>
    <s v="CUST159"/>
    <x v="1"/>
    <n v="26"/>
    <x v="0"/>
    <x v="0"/>
    <n v="4"/>
    <n v="50"/>
    <n v="200"/>
    <n v="4"/>
    <n v="0"/>
  </r>
  <r>
    <n v="160"/>
    <n v="11"/>
    <n v="8"/>
    <n v="2023"/>
    <d v="2023-08-11T00:00:00"/>
    <s v="CUST160"/>
    <x v="0"/>
    <n v="43"/>
    <x v="1"/>
    <x v="0"/>
    <n v="2"/>
    <n v="50"/>
    <n v="100"/>
    <n v="2"/>
    <n v="0"/>
  </r>
  <r>
    <n v="158"/>
    <n v="27"/>
    <n v="2"/>
    <n v="2023"/>
    <d v="2023-02-27T00:00:00"/>
    <s v="CUST158"/>
    <x v="0"/>
    <n v="44"/>
    <x v="1"/>
    <x v="2"/>
    <n v="2"/>
    <n v="300"/>
    <n v="600"/>
    <n v="12"/>
    <n v="0"/>
  </r>
  <r>
    <n v="162"/>
    <n v="21"/>
    <n v="8"/>
    <n v="2023"/>
    <d v="2023-08-21T00:00:00"/>
    <s v="CUST162"/>
    <x v="1"/>
    <n v="39"/>
    <x v="1"/>
    <x v="0"/>
    <n v="2"/>
    <n v="30"/>
    <n v="60"/>
    <n v="1.2"/>
    <n v="0"/>
  </r>
  <r>
    <n v="433"/>
    <n v="27"/>
    <n v="2"/>
    <n v="2023"/>
    <d v="2023-02-27T00:00:00"/>
    <s v="CUST433"/>
    <x v="1"/>
    <n v="29"/>
    <x v="0"/>
    <x v="1"/>
    <n v="4"/>
    <n v="50"/>
    <n v="200"/>
    <n v="4"/>
    <n v="0"/>
  </r>
  <r>
    <n v="152"/>
    <n v="28"/>
    <n v="2"/>
    <n v="2023"/>
    <d v="2023-02-28T00:00:00"/>
    <s v="CUST152"/>
    <x v="1"/>
    <n v="43"/>
    <x v="1"/>
    <x v="2"/>
    <n v="4"/>
    <n v="500"/>
    <n v="2000"/>
    <n v="40"/>
    <n v="0"/>
  </r>
  <r>
    <n v="163"/>
    <n v="2"/>
    <n v="1"/>
    <n v="2023"/>
    <d v="2023-01-02T00:00:00"/>
    <s v="CUST163"/>
    <x v="0"/>
    <n v="64"/>
    <x v="2"/>
    <x v="0"/>
    <n v="3"/>
    <n v="50"/>
    <n v="150"/>
    <n v="3"/>
    <n v="0"/>
  </r>
  <r>
    <n v="165"/>
    <n v="14"/>
    <n v="9"/>
    <n v="2023"/>
    <d v="2023-09-14T00:00:00"/>
    <s v="CUST165"/>
    <x v="0"/>
    <n v="60"/>
    <x v="2"/>
    <x v="0"/>
    <n v="4"/>
    <n v="300"/>
    <n v="1200"/>
    <n v="24"/>
    <n v="0"/>
  </r>
  <r>
    <n v="932"/>
    <n v="28"/>
    <n v="2"/>
    <n v="2023"/>
    <d v="2023-02-28T00:00:00"/>
    <s v="CUST932"/>
    <x v="0"/>
    <n v="45"/>
    <x v="1"/>
    <x v="1"/>
    <n v="4"/>
    <n v="25"/>
    <n v="100"/>
    <n v="2"/>
    <n v="0"/>
  </r>
  <r>
    <n v="399"/>
    <n v="1"/>
    <n v="3"/>
    <n v="2023"/>
    <d v="2023-03-01T00:00:00"/>
    <s v="CUST399"/>
    <x v="0"/>
    <n v="64"/>
    <x v="2"/>
    <x v="1"/>
    <n v="2"/>
    <n v="30"/>
    <n v="60"/>
    <n v="1.2"/>
    <n v="0"/>
  </r>
  <r>
    <n v="500"/>
    <n v="1"/>
    <n v="3"/>
    <n v="2023"/>
    <d v="2023-03-01T00:00:00"/>
    <s v="CUST500"/>
    <x v="0"/>
    <n v="60"/>
    <x v="2"/>
    <x v="1"/>
    <n v="4"/>
    <n v="25"/>
    <n v="100"/>
    <n v="2"/>
    <n v="0"/>
  </r>
  <r>
    <n v="186"/>
    <n v="5"/>
    <n v="7"/>
    <n v="2023"/>
    <d v="2023-07-05T00:00:00"/>
    <s v="CUST186"/>
    <x v="1"/>
    <n v="20"/>
    <x v="0"/>
    <x v="0"/>
    <n v="4"/>
    <n v="50"/>
    <n v="200"/>
    <n v="4"/>
    <n v="0"/>
  </r>
  <r>
    <n v="947"/>
    <n v="2"/>
    <n v="3"/>
    <n v="2023"/>
    <d v="2023-03-02T00:00:00"/>
    <s v="CUST947"/>
    <x v="1"/>
    <n v="50"/>
    <x v="2"/>
    <x v="1"/>
    <n v="1"/>
    <n v="300"/>
    <n v="300"/>
    <n v="6"/>
    <n v="0"/>
  </r>
  <r>
    <n v="220"/>
    <n v="3"/>
    <n v="3"/>
    <n v="2023"/>
    <d v="2023-03-03T00:00:00"/>
    <s v="CUST220"/>
    <x v="1"/>
    <n v="64"/>
    <x v="2"/>
    <x v="1"/>
    <n v="1"/>
    <n v="500"/>
    <n v="500"/>
    <n v="10"/>
    <n v="0"/>
  </r>
  <r>
    <n v="212"/>
    <n v="9"/>
    <n v="6"/>
    <n v="2023"/>
    <d v="2023-06-09T00:00:00"/>
    <s v="CUST212"/>
    <x v="1"/>
    <n v="21"/>
    <x v="0"/>
    <x v="0"/>
    <n v="3"/>
    <n v="500"/>
    <n v="1500"/>
    <n v="30"/>
    <n v="0"/>
  </r>
  <r>
    <n v="785"/>
    <n v="3"/>
    <n v="3"/>
    <n v="2023"/>
    <d v="2023-03-03T00:00:00"/>
    <s v="CUST785"/>
    <x v="0"/>
    <n v="31"/>
    <x v="1"/>
    <x v="1"/>
    <n v="4"/>
    <n v="50"/>
    <n v="200"/>
    <n v="4"/>
    <n v="0"/>
  </r>
  <r>
    <n v="166"/>
    <n v="2"/>
    <n v="4"/>
    <n v="2023"/>
    <d v="2023-04-02T00:00:00"/>
    <s v="CUST166"/>
    <x v="1"/>
    <n v="34"/>
    <x v="1"/>
    <x v="0"/>
    <n v="4"/>
    <n v="500"/>
    <n v="2000"/>
    <n v="40"/>
    <n v="0"/>
  </r>
  <r>
    <n v="888"/>
    <n v="3"/>
    <n v="3"/>
    <n v="2023"/>
    <d v="2023-03-03T00:00:00"/>
    <s v="CUST888"/>
    <x v="0"/>
    <n v="52"/>
    <x v="2"/>
    <x v="2"/>
    <n v="4"/>
    <n v="25"/>
    <n v="100"/>
    <n v="2"/>
    <n v="0"/>
  </r>
  <r>
    <n v="621"/>
    <n v="4"/>
    <n v="3"/>
    <n v="2023"/>
    <d v="2023-03-04T00:00:00"/>
    <s v="CUST621"/>
    <x v="0"/>
    <n v="40"/>
    <x v="1"/>
    <x v="1"/>
    <n v="2"/>
    <n v="500"/>
    <n v="1000"/>
    <n v="20"/>
    <n v="0"/>
  </r>
  <r>
    <n v="52"/>
    <n v="5"/>
    <n v="3"/>
    <n v="2023"/>
    <d v="2023-03-05T00:00:00"/>
    <s v="CUST052"/>
    <x v="0"/>
    <n v="36"/>
    <x v="1"/>
    <x v="1"/>
    <n v="1"/>
    <n v="300"/>
    <n v="300"/>
    <n v="6"/>
    <n v="0"/>
  </r>
  <r>
    <n v="536"/>
    <n v="5"/>
    <n v="3"/>
    <n v="2023"/>
    <d v="2023-03-05T00:00:00"/>
    <s v="CUST536"/>
    <x v="0"/>
    <n v="55"/>
    <x v="2"/>
    <x v="1"/>
    <n v="4"/>
    <n v="30"/>
    <n v="120"/>
    <n v="2.4"/>
    <n v="0"/>
  </r>
  <r>
    <n v="167"/>
    <n v="17"/>
    <n v="9"/>
    <n v="2023"/>
    <d v="2023-09-17T00:00:00"/>
    <s v="CUST167"/>
    <x v="0"/>
    <n v="43"/>
    <x v="1"/>
    <x v="0"/>
    <n v="3"/>
    <n v="50"/>
    <n v="150"/>
    <n v="3"/>
    <n v="0"/>
  </r>
  <r>
    <n v="168"/>
    <n v="24"/>
    <n v="2"/>
    <n v="2023"/>
    <d v="2023-02-24T00:00:00"/>
    <s v="CUST168"/>
    <x v="1"/>
    <n v="53"/>
    <x v="2"/>
    <x v="0"/>
    <n v="1"/>
    <n v="300"/>
    <n v="300"/>
    <n v="6"/>
    <n v="0"/>
  </r>
  <r>
    <n v="214"/>
    <n v="10"/>
    <n v="12"/>
    <n v="2023"/>
    <d v="2023-12-10T00:00:00"/>
    <s v="CUST214"/>
    <x v="1"/>
    <n v="20"/>
    <x v="0"/>
    <x v="1"/>
    <n v="2"/>
    <n v="30"/>
    <n v="60"/>
    <n v="1.2"/>
    <n v="0"/>
  </r>
  <r>
    <n v="917"/>
    <n v="6"/>
    <n v="3"/>
    <n v="2023"/>
    <d v="2023-03-06T00:00:00"/>
    <s v="CUST917"/>
    <x v="0"/>
    <n v="57"/>
    <x v="2"/>
    <x v="2"/>
    <n v="4"/>
    <n v="50"/>
    <n v="200"/>
    <n v="4"/>
    <n v="0"/>
  </r>
  <r>
    <n v="198"/>
    <n v="7"/>
    <n v="3"/>
    <n v="2023"/>
    <d v="2023-03-07T00:00:00"/>
    <s v="CUST198"/>
    <x v="0"/>
    <n v="54"/>
    <x v="2"/>
    <x v="1"/>
    <n v="3"/>
    <n v="300"/>
    <n v="900"/>
    <n v="18"/>
    <n v="0"/>
  </r>
  <r>
    <n v="170"/>
    <n v="2"/>
    <n v="6"/>
    <n v="2023"/>
    <d v="2023-06-02T00:00:00"/>
    <s v="CUST170"/>
    <x v="0"/>
    <n v="25"/>
    <x v="0"/>
    <x v="0"/>
    <n v="2"/>
    <n v="25"/>
    <n v="50"/>
    <n v="1"/>
    <n v="0"/>
  </r>
  <r>
    <n v="171"/>
    <n v="24"/>
    <n v="11"/>
    <n v="2023"/>
    <d v="2023-11-24T00:00:00"/>
    <s v="CUST171"/>
    <x v="0"/>
    <n v="52"/>
    <x v="2"/>
    <x v="0"/>
    <n v="3"/>
    <n v="300"/>
    <n v="900"/>
    <n v="18"/>
    <n v="0"/>
  </r>
  <r>
    <n v="705"/>
    <n v="7"/>
    <n v="3"/>
    <n v="2023"/>
    <d v="2023-03-07T00:00:00"/>
    <s v="CUST705"/>
    <x v="1"/>
    <n v="60"/>
    <x v="2"/>
    <x v="2"/>
    <n v="2"/>
    <n v="25"/>
    <n v="50"/>
    <n v="1"/>
    <n v="0"/>
  </r>
  <r>
    <n v="178"/>
    <n v="4"/>
    <n v="10"/>
    <n v="2023"/>
    <d v="2023-10-04T00:00:00"/>
    <s v="CUST178"/>
    <x v="1"/>
    <n v="40"/>
    <x v="1"/>
    <x v="0"/>
    <n v="2"/>
    <n v="30"/>
    <n v="60"/>
    <n v="1.2"/>
    <n v="0"/>
  </r>
  <r>
    <n v="180"/>
    <n v="1"/>
    <n v="1"/>
    <n v="2023"/>
    <d v="2023-01-01T00:00:00"/>
    <s v="CUST180"/>
    <x v="1"/>
    <n v="41"/>
    <x v="1"/>
    <x v="0"/>
    <n v="3"/>
    <n v="300"/>
    <n v="900"/>
    <n v="18"/>
    <n v="0"/>
  </r>
  <r>
    <n v="231"/>
    <n v="4"/>
    <n v="1"/>
    <n v="2023"/>
    <d v="2023-01-04T00:00:00"/>
    <s v="CUST231"/>
    <x v="0"/>
    <n v="23"/>
    <x v="0"/>
    <x v="0"/>
    <n v="3"/>
    <n v="50"/>
    <n v="150"/>
    <n v="3"/>
    <n v="0"/>
  </r>
  <r>
    <n v="235"/>
    <n v="31"/>
    <n v="1"/>
    <n v="2023"/>
    <d v="2023-01-31T00:00:00"/>
    <s v="CUST235"/>
    <x v="0"/>
    <n v="23"/>
    <x v="0"/>
    <x v="2"/>
    <n v="2"/>
    <n v="500"/>
    <n v="1000"/>
    <n v="20"/>
    <n v="0"/>
  </r>
  <r>
    <n v="397"/>
    <n v="10"/>
    <n v="3"/>
    <n v="2023"/>
    <d v="2023-03-10T00:00:00"/>
    <s v="CUST397"/>
    <x v="0"/>
    <n v="30"/>
    <x v="1"/>
    <x v="1"/>
    <n v="1"/>
    <n v="25"/>
    <n v="25"/>
    <n v="0.5"/>
    <n v="0"/>
  </r>
  <r>
    <n v="187"/>
    <n v="7"/>
    <n v="6"/>
    <n v="2023"/>
    <d v="2023-06-07T00:00:00"/>
    <s v="CUST187"/>
    <x v="0"/>
    <n v="64"/>
    <x v="2"/>
    <x v="0"/>
    <n v="2"/>
    <n v="50"/>
    <n v="100"/>
    <n v="2"/>
    <n v="0"/>
  </r>
  <r>
    <n v="188"/>
    <n v="3"/>
    <n v="5"/>
    <n v="2023"/>
    <d v="2023-05-03T00:00:00"/>
    <s v="CUST188"/>
    <x v="1"/>
    <n v="40"/>
    <x v="1"/>
    <x v="0"/>
    <n v="3"/>
    <n v="25"/>
    <n v="75"/>
    <n v="1.5"/>
    <n v="0"/>
  </r>
  <r>
    <n v="194"/>
    <n v="6"/>
    <n v="9"/>
    <n v="2023"/>
    <d v="2023-09-06T00:00:00"/>
    <s v="CUST194"/>
    <x v="1"/>
    <n v="55"/>
    <x v="2"/>
    <x v="0"/>
    <n v="4"/>
    <n v="50"/>
    <n v="200"/>
    <n v="4"/>
    <n v="0"/>
  </r>
  <r>
    <n v="195"/>
    <n v="5"/>
    <n v="2"/>
    <n v="2023"/>
    <d v="2023-02-05T00:00:00"/>
    <s v="CUST195"/>
    <x v="1"/>
    <n v="52"/>
    <x v="2"/>
    <x v="0"/>
    <n v="1"/>
    <n v="30"/>
    <n v="30"/>
    <n v="0.6"/>
    <n v="0"/>
  </r>
  <r>
    <n v="196"/>
    <n v="30"/>
    <n v="9"/>
    <n v="2023"/>
    <d v="2023-09-30T00:00:00"/>
    <s v="CUST196"/>
    <x v="0"/>
    <n v="32"/>
    <x v="1"/>
    <x v="0"/>
    <n v="3"/>
    <n v="300"/>
    <n v="900"/>
    <n v="18"/>
    <n v="0"/>
  </r>
  <r>
    <n v="197"/>
    <n v="6"/>
    <n v="3"/>
    <n v="2023"/>
    <d v="2023-03-06T00:00:00"/>
    <s v="CUST197"/>
    <x v="0"/>
    <n v="42"/>
    <x v="1"/>
    <x v="0"/>
    <n v="4"/>
    <n v="50"/>
    <n v="200"/>
    <n v="4"/>
    <n v="0"/>
  </r>
  <r>
    <n v="202"/>
    <n v="26"/>
    <n v="3"/>
    <n v="2023"/>
    <d v="2023-03-26T00:00:00"/>
    <s v="CUST202"/>
    <x v="0"/>
    <n v="34"/>
    <x v="1"/>
    <x v="0"/>
    <n v="4"/>
    <n v="300"/>
    <n v="1200"/>
    <n v="24"/>
    <n v="0"/>
  </r>
  <r>
    <n v="240"/>
    <n v="6"/>
    <n v="2"/>
    <n v="2023"/>
    <d v="2023-02-06T00:00:00"/>
    <s v="CUST240"/>
    <x v="0"/>
    <n v="23"/>
    <x v="0"/>
    <x v="1"/>
    <n v="1"/>
    <n v="300"/>
    <n v="300"/>
    <n v="6"/>
    <n v="0"/>
  </r>
  <r>
    <n v="203"/>
    <n v="16"/>
    <n v="5"/>
    <n v="2023"/>
    <d v="2023-05-16T00:00:00"/>
    <s v="CUST203"/>
    <x v="1"/>
    <n v="56"/>
    <x v="2"/>
    <x v="0"/>
    <n v="2"/>
    <n v="500"/>
    <n v="1000"/>
    <n v="20"/>
    <n v="0"/>
  </r>
  <r>
    <n v="205"/>
    <n v="7"/>
    <n v="11"/>
    <n v="2023"/>
    <d v="2023-11-07T00:00:00"/>
    <s v="CUST205"/>
    <x v="0"/>
    <n v="43"/>
    <x v="1"/>
    <x v="0"/>
    <n v="1"/>
    <n v="25"/>
    <n v="25"/>
    <n v="0.5"/>
    <n v="0"/>
  </r>
  <r>
    <n v="206"/>
    <n v="5"/>
    <n v="8"/>
    <n v="2023"/>
    <d v="2023-08-05T00:00:00"/>
    <s v="CUST206"/>
    <x v="1"/>
    <n v="61"/>
    <x v="2"/>
    <x v="0"/>
    <n v="1"/>
    <n v="25"/>
    <n v="25"/>
    <n v="0.5"/>
    <n v="0"/>
  </r>
  <r>
    <n v="241"/>
    <n v="21"/>
    <n v="9"/>
    <n v="2023"/>
    <d v="2023-09-21T00:00:00"/>
    <s v="CUST241"/>
    <x v="0"/>
    <n v="23"/>
    <x v="0"/>
    <x v="2"/>
    <n v="3"/>
    <n v="25"/>
    <n v="75"/>
    <n v="1.5"/>
    <n v="0"/>
  </r>
  <r>
    <n v="215"/>
    <n v="29"/>
    <n v="11"/>
    <n v="2023"/>
    <d v="2023-11-29T00:00:00"/>
    <s v="CUST215"/>
    <x v="1"/>
    <n v="58"/>
    <x v="2"/>
    <x v="0"/>
    <n v="3"/>
    <n v="500"/>
    <n v="1500"/>
    <n v="30"/>
    <n v="0"/>
  </r>
  <r>
    <n v="659"/>
    <n v="19"/>
    <n v="3"/>
    <n v="2023"/>
    <d v="2023-03-19T00:00:00"/>
    <s v="CUST659"/>
    <x v="0"/>
    <n v="39"/>
    <x v="1"/>
    <x v="2"/>
    <n v="1"/>
    <n v="30"/>
    <n v="30"/>
    <n v="0.6"/>
    <n v="0"/>
  </r>
  <r>
    <n v="222"/>
    <n v="26"/>
    <n v="4"/>
    <n v="2023"/>
    <d v="2023-04-26T00:00:00"/>
    <s v="CUST222"/>
    <x v="1"/>
    <n v="51"/>
    <x v="2"/>
    <x v="0"/>
    <n v="4"/>
    <n v="30"/>
    <n v="120"/>
    <n v="2.4"/>
    <n v="0"/>
  </r>
  <r>
    <n v="136"/>
    <n v="20"/>
    <n v="3"/>
    <n v="2023"/>
    <d v="2023-03-20T00:00:00"/>
    <s v="CUST136"/>
    <x v="1"/>
    <n v="44"/>
    <x v="1"/>
    <x v="2"/>
    <n v="2"/>
    <n v="300"/>
    <n v="600"/>
    <n v="12"/>
    <n v="0"/>
  </r>
  <r>
    <n v="175"/>
    <n v="20"/>
    <n v="3"/>
    <n v="2023"/>
    <d v="2023-03-20T00:00:00"/>
    <s v="CUST175"/>
    <x v="0"/>
    <n v="31"/>
    <x v="1"/>
    <x v="2"/>
    <n v="4"/>
    <n v="25"/>
    <n v="100"/>
    <n v="2"/>
    <n v="0"/>
  </r>
  <r>
    <n v="223"/>
    <n v="2"/>
    <n v="2"/>
    <n v="2023"/>
    <d v="2023-02-02T00:00:00"/>
    <s v="CUST223"/>
    <x v="0"/>
    <n v="64"/>
    <x v="2"/>
    <x v="0"/>
    <n v="1"/>
    <n v="25"/>
    <n v="25"/>
    <n v="0.5"/>
    <n v="0"/>
  </r>
  <r>
    <n v="224"/>
    <n v="23"/>
    <n v="6"/>
    <n v="2023"/>
    <d v="2023-06-23T00:00:00"/>
    <s v="CUST224"/>
    <x v="0"/>
    <n v="25"/>
    <x v="0"/>
    <x v="0"/>
    <n v="1"/>
    <n v="50"/>
    <n v="50"/>
    <n v="1"/>
    <n v="0"/>
  </r>
  <r>
    <n v="806"/>
    <n v="20"/>
    <n v="3"/>
    <n v="2023"/>
    <d v="2023-03-20T00:00:00"/>
    <s v="CUST806"/>
    <x v="0"/>
    <n v="35"/>
    <x v="1"/>
    <x v="1"/>
    <n v="3"/>
    <n v="300"/>
    <n v="900"/>
    <n v="18"/>
    <n v="0"/>
  </r>
  <r>
    <n v="38"/>
    <n v="21"/>
    <n v="3"/>
    <n v="2023"/>
    <d v="2023-03-21T00:00:00"/>
    <s v="CUST038"/>
    <x v="1"/>
    <n v="38"/>
    <x v="1"/>
    <x v="1"/>
    <n v="4"/>
    <n v="50"/>
    <n v="200"/>
    <n v="4"/>
    <n v="0"/>
  </r>
  <r>
    <n v="313"/>
    <n v="21"/>
    <n v="3"/>
    <n v="2023"/>
    <d v="2023-03-21T00:00:00"/>
    <s v="CUST313"/>
    <x v="0"/>
    <n v="55"/>
    <x v="2"/>
    <x v="1"/>
    <n v="3"/>
    <n v="500"/>
    <n v="1500"/>
    <n v="30"/>
    <n v="0"/>
  </r>
  <r>
    <n v="226"/>
    <n v="29"/>
    <n v="10"/>
    <n v="2023"/>
    <d v="2023-10-29T00:00:00"/>
    <s v="CUST226"/>
    <x v="0"/>
    <n v="61"/>
    <x v="2"/>
    <x v="0"/>
    <n v="1"/>
    <n v="50"/>
    <n v="50"/>
    <n v="1"/>
    <n v="0"/>
  </r>
  <r>
    <n v="242"/>
    <n v="2"/>
    <n v="5"/>
    <n v="2023"/>
    <d v="2023-05-02T00:00:00"/>
    <s v="CUST242"/>
    <x v="1"/>
    <n v="21"/>
    <x v="0"/>
    <x v="0"/>
    <n v="1"/>
    <n v="25"/>
    <n v="25"/>
    <n v="0.5"/>
    <n v="0"/>
  </r>
  <r>
    <n v="161"/>
    <n v="22"/>
    <n v="3"/>
    <n v="2023"/>
    <d v="2023-03-22T00:00:00"/>
    <s v="CUST161"/>
    <x v="1"/>
    <n v="64"/>
    <x v="2"/>
    <x v="1"/>
    <n v="2"/>
    <n v="500"/>
    <n v="1000"/>
    <n v="20"/>
    <n v="0"/>
  </r>
  <r>
    <n v="328"/>
    <n v="22"/>
    <n v="3"/>
    <n v="2023"/>
    <d v="2023-03-22T00:00:00"/>
    <s v="CUST328"/>
    <x v="1"/>
    <n v="39"/>
    <x v="1"/>
    <x v="1"/>
    <n v="2"/>
    <n v="50"/>
    <n v="100"/>
    <n v="2"/>
    <n v="0"/>
  </r>
  <r>
    <n v="383"/>
    <n v="22"/>
    <n v="3"/>
    <n v="2023"/>
    <d v="2023-03-22T00:00:00"/>
    <s v="CUST383"/>
    <x v="0"/>
    <n v="46"/>
    <x v="1"/>
    <x v="1"/>
    <n v="3"/>
    <n v="30"/>
    <n v="90"/>
    <n v="1.8"/>
    <n v="0"/>
  </r>
  <r>
    <n v="236"/>
    <n v="28"/>
    <n v="4"/>
    <n v="2023"/>
    <d v="2023-04-28T00:00:00"/>
    <s v="CUST236"/>
    <x v="0"/>
    <n v="54"/>
    <x v="2"/>
    <x v="0"/>
    <n v="1"/>
    <n v="25"/>
    <n v="25"/>
    <n v="0.5"/>
    <n v="0"/>
  </r>
  <r>
    <n v="249"/>
    <n v="20"/>
    <n v="10"/>
    <n v="2023"/>
    <d v="2023-10-20T00:00:00"/>
    <s v="CUST249"/>
    <x v="1"/>
    <n v="20"/>
    <x v="0"/>
    <x v="0"/>
    <n v="1"/>
    <n v="50"/>
    <n v="50"/>
    <n v="1"/>
    <n v="0"/>
  </r>
  <r>
    <n v="33"/>
    <n v="23"/>
    <n v="3"/>
    <n v="2023"/>
    <d v="2023-03-23T00:00:00"/>
    <s v="CUST033"/>
    <x v="0"/>
    <n v="50"/>
    <x v="2"/>
    <x v="2"/>
    <n v="2"/>
    <n v="50"/>
    <n v="100"/>
    <n v="2"/>
    <n v="0"/>
  </r>
  <r>
    <n v="245"/>
    <n v="6"/>
    <n v="9"/>
    <n v="2023"/>
    <d v="2023-09-06T00:00:00"/>
    <s v="CUST245"/>
    <x v="1"/>
    <n v="47"/>
    <x v="1"/>
    <x v="0"/>
    <n v="3"/>
    <n v="30"/>
    <n v="90"/>
    <n v="1.8"/>
    <n v="0"/>
  </r>
  <r>
    <n v="248"/>
    <n v="9"/>
    <n v="3"/>
    <n v="2023"/>
    <d v="2023-03-09T00:00:00"/>
    <s v="CUST248"/>
    <x v="1"/>
    <n v="26"/>
    <x v="0"/>
    <x v="0"/>
    <n v="3"/>
    <n v="300"/>
    <n v="900"/>
    <n v="18"/>
    <n v="0"/>
  </r>
  <r>
    <n v="256"/>
    <n v="18"/>
    <n v="2"/>
    <n v="2023"/>
    <d v="2023-02-18T00:00:00"/>
    <s v="CUST256"/>
    <x v="1"/>
    <n v="23"/>
    <x v="0"/>
    <x v="0"/>
    <n v="2"/>
    <n v="500"/>
    <n v="1000"/>
    <n v="20"/>
    <n v="0"/>
  </r>
  <r>
    <n v="177"/>
    <n v="24"/>
    <n v="3"/>
    <n v="2023"/>
    <d v="2023-03-24T00:00:00"/>
    <s v="CUST177"/>
    <x v="1"/>
    <n v="45"/>
    <x v="1"/>
    <x v="1"/>
    <n v="2"/>
    <n v="50"/>
    <n v="100"/>
    <n v="2"/>
    <n v="0"/>
  </r>
  <r>
    <n v="257"/>
    <n v="19"/>
    <n v="2"/>
    <n v="2023"/>
    <d v="2023-02-19T00:00:00"/>
    <s v="CUST257"/>
    <x v="1"/>
    <n v="19"/>
    <x v="0"/>
    <x v="1"/>
    <n v="4"/>
    <n v="500"/>
    <n v="2000"/>
    <n v="40"/>
    <n v="0"/>
  </r>
  <r>
    <n v="261"/>
    <n v="5"/>
    <n v="8"/>
    <n v="2023"/>
    <d v="2023-08-05T00:00:00"/>
    <s v="CUST261"/>
    <x v="1"/>
    <n v="21"/>
    <x v="0"/>
    <x v="0"/>
    <n v="2"/>
    <n v="25"/>
    <n v="50"/>
    <n v="1"/>
    <n v="0"/>
  </r>
  <r>
    <n v="91"/>
    <n v="25"/>
    <n v="3"/>
    <n v="2023"/>
    <d v="2023-03-25T00:00:00"/>
    <s v="CUST091"/>
    <x v="0"/>
    <n v="55"/>
    <x v="2"/>
    <x v="2"/>
    <n v="1"/>
    <n v="500"/>
    <n v="500"/>
    <n v="10"/>
    <n v="0"/>
  </r>
  <r>
    <n v="263"/>
    <n v="28"/>
    <n v="8"/>
    <n v="2023"/>
    <d v="2023-08-28T00:00:00"/>
    <s v="CUST263"/>
    <x v="1"/>
    <n v="23"/>
    <x v="0"/>
    <x v="1"/>
    <n v="2"/>
    <n v="30"/>
    <n v="60"/>
    <n v="1.2"/>
    <n v="0"/>
  </r>
  <r>
    <n v="266"/>
    <n v="1"/>
    <n v="12"/>
    <n v="2023"/>
    <d v="2023-12-01T00:00:00"/>
    <s v="CUST266"/>
    <x v="0"/>
    <n v="19"/>
    <x v="0"/>
    <x v="2"/>
    <n v="2"/>
    <n v="30"/>
    <n v="60"/>
    <n v="1.2"/>
    <n v="0"/>
  </r>
  <r>
    <n v="253"/>
    <n v="31"/>
    <n v="8"/>
    <n v="2023"/>
    <d v="2023-08-31T00:00:00"/>
    <s v="CUST253"/>
    <x v="0"/>
    <n v="53"/>
    <x v="2"/>
    <x v="0"/>
    <n v="4"/>
    <n v="500"/>
    <n v="2000"/>
    <n v="40"/>
    <n v="0"/>
  </r>
  <r>
    <n v="255"/>
    <n v="8"/>
    <n v="4"/>
    <n v="2023"/>
    <d v="2023-04-08T00:00:00"/>
    <s v="CUST255"/>
    <x v="1"/>
    <n v="48"/>
    <x v="1"/>
    <x v="0"/>
    <n v="1"/>
    <n v="30"/>
    <n v="30"/>
    <n v="0.6"/>
    <n v="0"/>
  </r>
  <r>
    <n v="703"/>
    <n v="26"/>
    <n v="3"/>
    <n v="2023"/>
    <d v="2023-03-26T00:00:00"/>
    <s v="CUST703"/>
    <x v="1"/>
    <n v="34"/>
    <x v="1"/>
    <x v="2"/>
    <n v="2"/>
    <n v="50"/>
    <n v="100"/>
    <n v="2"/>
    <n v="0"/>
  </r>
  <r>
    <n v="273"/>
    <n v="8"/>
    <n v="5"/>
    <n v="2023"/>
    <d v="2023-05-08T00:00:00"/>
    <s v="CUST273"/>
    <x v="0"/>
    <n v="22"/>
    <x v="0"/>
    <x v="1"/>
    <n v="1"/>
    <n v="50"/>
    <n v="50"/>
    <n v="1"/>
    <n v="0"/>
  </r>
  <r>
    <n v="760"/>
    <n v="27"/>
    <n v="3"/>
    <n v="2023"/>
    <d v="2023-03-27T00:00:00"/>
    <s v="CUST760"/>
    <x v="1"/>
    <n v="27"/>
    <x v="0"/>
    <x v="1"/>
    <n v="1"/>
    <n v="500"/>
    <n v="500"/>
    <n v="10"/>
    <n v="0"/>
  </r>
  <r>
    <n v="258"/>
    <n v="4"/>
    <n v="12"/>
    <n v="2023"/>
    <d v="2023-12-04T00:00:00"/>
    <s v="CUST258"/>
    <x v="0"/>
    <n v="37"/>
    <x v="1"/>
    <x v="0"/>
    <n v="1"/>
    <n v="50"/>
    <n v="50"/>
    <n v="1"/>
    <n v="0"/>
  </r>
  <r>
    <n v="259"/>
    <n v="9"/>
    <n v="8"/>
    <n v="2023"/>
    <d v="2023-08-09T00:00:00"/>
    <s v="CUST259"/>
    <x v="0"/>
    <n v="45"/>
    <x v="1"/>
    <x v="0"/>
    <n v="4"/>
    <n v="50"/>
    <n v="200"/>
    <n v="4"/>
    <n v="0"/>
  </r>
  <r>
    <n v="274"/>
    <n v="9"/>
    <n v="4"/>
    <n v="2023"/>
    <d v="2023-04-09T00:00:00"/>
    <s v="CUST274"/>
    <x v="0"/>
    <n v="23"/>
    <x v="0"/>
    <x v="0"/>
    <n v="2"/>
    <n v="500"/>
    <n v="1000"/>
    <n v="20"/>
    <n v="0"/>
  </r>
  <r>
    <n v="264"/>
    <n v="28"/>
    <n v="1"/>
    <n v="2023"/>
    <d v="2023-01-28T00:00:00"/>
    <s v="CUST264"/>
    <x v="1"/>
    <n v="47"/>
    <x v="1"/>
    <x v="0"/>
    <n v="3"/>
    <n v="300"/>
    <n v="900"/>
    <n v="18"/>
    <n v="0"/>
  </r>
  <r>
    <n v="462"/>
    <n v="1"/>
    <n v="4"/>
    <n v="2023"/>
    <d v="2023-04-01T00:00:00"/>
    <s v="CUST462"/>
    <x v="1"/>
    <n v="63"/>
    <x v="2"/>
    <x v="2"/>
    <n v="4"/>
    <n v="300"/>
    <n v="1200"/>
    <n v="24"/>
    <n v="0"/>
  </r>
  <r>
    <n v="614"/>
    <n v="1"/>
    <n v="4"/>
    <n v="2023"/>
    <d v="2023-04-01T00:00:00"/>
    <s v="CUST614"/>
    <x v="0"/>
    <n v="39"/>
    <x v="1"/>
    <x v="1"/>
    <n v="4"/>
    <n v="300"/>
    <n v="1200"/>
    <n v="24"/>
    <n v="0"/>
  </r>
  <r>
    <n v="808"/>
    <n v="1"/>
    <n v="4"/>
    <n v="2023"/>
    <d v="2023-04-01T00:00:00"/>
    <s v="CUST808"/>
    <x v="1"/>
    <n v="33"/>
    <x v="1"/>
    <x v="1"/>
    <n v="4"/>
    <n v="500"/>
    <n v="2000"/>
    <n v="40"/>
    <n v="0"/>
  </r>
  <r>
    <n v="265"/>
    <n v="11"/>
    <n v="12"/>
    <n v="2023"/>
    <d v="2023-12-11T00:00:00"/>
    <s v="CUST265"/>
    <x v="1"/>
    <n v="55"/>
    <x v="2"/>
    <x v="0"/>
    <n v="3"/>
    <n v="300"/>
    <n v="900"/>
    <n v="18"/>
    <n v="0"/>
  </r>
  <r>
    <n v="465"/>
    <n v="2"/>
    <n v="4"/>
    <n v="2023"/>
    <d v="2023-04-02T00:00:00"/>
    <s v="CUST465"/>
    <x v="0"/>
    <n v="43"/>
    <x v="1"/>
    <x v="2"/>
    <n v="3"/>
    <n v="50"/>
    <n v="150"/>
    <n v="3"/>
    <n v="0"/>
  </r>
  <r>
    <n v="502"/>
    <n v="2"/>
    <n v="4"/>
    <n v="2023"/>
    <d v="2023-04-02T00:00:00"/>
    <s v="CUST502"/>
    <x v="1"/>
    <n v="43"/>
    <x v="1"/>
    <x v="2"/>
    <n v="3"/>
    <n v="50"/>
    <n v="150"/>
    <n v="3"/>
    <n v="0"/>
  </r>
  <r>
    <n v="905"/>
    <n v="2"/>
    <n v="4"/>
    <n v="2023"/>
    <d v="2023-04-02T00:00:00"/>
    <s v="CUST905"/>
    <x v="1"/>
    <n v="58"/>
    <x v="2"/>
    <x v="1"/>
    <n v="1"/>
    <n v="300"/>
    <n v="300"/>
    <n v="6"/>
    <n v="0"/>
  </r>
  <r>
    <n v="269"/>
    <n v="1"/>
    <n v="2"/>
    <n v="2023"/>
    <d v="2023-02-01T00:00:00"/>
    <s v="CUST269"/>
    <x v="1"/>
    <n v="25"/>
    <x v="0"/>
    <x v="0"/>
    <n v="4"/>
    <n v="500"/>
    <n v="2000"/>
    <n v="40"/>
    <n v="0"/>
  </r>
  <r>
    <n v="276"/>
    <n v="2"/>
    <n v="10"/>
    <n v="2023"/>
    <d v="2023-10-02T00:00:00"/>
    <s v="CUST276"/>
    <x v="0"/>
    <n v="21"/>
    <x v="0"/>
    <x v="1"/>
    <n v="4"/>
    <n v="25"/>
    <n v="100"/>
    <n v="2"/>
    <n v="0"/>
  </r>
  <r>
    <n v="834"/>
    <n v="4"/>
    <n v="4"/>
    <n v="2023"/>
    <d v="2023-04-04T00:00:00"/>
    <s v="CUST834"/>
    <x v="0"/>
    <n v="56"/>
    <x v="2"/>
    <x v="1"/>
    <n v="2"/>
    <n v="30"/>
    <n v="60"/>
    <n v="1.2"/>
    <n v="0"/>
  </r>
  <r>
    <n v="891"/>
    <n v="5"/>
    <n v="4"/>
    <n v="2023"/>
    <d v="2023-04-05T00:00:00"/>
    <s v="CUST891"/>
    <x v="1"/>
    <n v="41"/>
    <x v="1"/>
    <x v="2"/>
    <n v="3"/>
    <n v="300"/>
    <n v="900"/>
    <n v="18"/>
    <n v="0"/>
  </r>
  <r>
    <n v="275"/>
    <n v="8"/>
    <n v="4"/>
    <n v="2023"/>
    <d v="2023-04-08T00:00:00"/>
    <s v="CUST275"/>
    <x v="1"/>
    <n v="43"/>
    <x v="1"/>
    <x v="0"/>
    <n v="2"/>
    <n v="500"/>
    <n v="1000"/>
    <n v="20"/>
    <n v="0"/>
  </r>
  <r>
    <n v="332"/>
    <n v="6"/>
    <n v="4"/>
    <n v="2023"/>
    <d v="2023-04-06T00:00:00"/>
    <s v="CUST332"/>
    <x v="1"/>
    <n v="58"/>
    <x v="2"/>
    <x v="2"/>
    <n v="4"/>
    <n v="300"/>
    <n v="1200"/>
    <n v="24"/>
    <n v="0"/>
  </r>
  <r>
    <n v="277"/>
    <n v="18"/>
    <n v="8"/>
    <n v="2023"/>
    <d v="2023-08-18T00:00:00"/>
    <s v="CUST277"/>
    <x v="1"/>
    <n v="36"/>
    <x v="1"/>
    <x v="0"/>
    <n v="4"/>
    <n v="25"/>
    <n v="100"/>
    <n v="2"/>
    <n v="0"/>
  </r>
  <r>
    <n v="278"/>
    <n v="13"/>
    <n v="3"/>
    <n v="2023"/>
    <d v="2023-03-13T00:00:00"/>
    <s v="CUST278"/>
    <x v="0"/>
    <n v="37"/>
    <x v="1"/>
    <x v="0"/>
    <n v="4"/>
    <n v="25"/>
    <n v="100"/>
    <n v="2"/>
    <n v="0"/>
  </r>
  <r>
    <n v="279"/>
    <n v="5"/>
    <n v="8"/>
    <n v="2023"/>
    <d v="2023-08-05T00:00:00"/>
    <s v="CUST279"/>
    <x v="1"/>
    <n v="50"/>
    <x v="2"/>
    <x v="0"/>
    <n v="1"/>
    <n v="500"/>
    <n v="500"/>
    <n v="10"/>
    <n v="0"/>
  </r>
  <r>
    <n v="280"/>
    <n v="4"/>
    <n v="4"/>
    <n v="2023"/>
    <d v="2023-04-04T00:00:00"/>
    <s v="CUST280"/>
    <x v="0"/>
    <n v="37"/>
    <x v="1"/>
    <x v="0"/>
    <n v="3"/>
    <n v="500"/>
    <n v="1500"/>
    <n v="30"/>
    <n v="0"/>
  </r>
  <r>
    <n v="283"/>
    <n v="8"/>
    <n v="5"/>
    <n v="2023"/>
    <d v="2023-05-08T00:00:00"/>
    <s v="CUST283"/>
    <x v="0"/>
    <n v="18"/>
    <x v="0"/>
    <x v="2"/>
    <n v="1"/>
    <n v="500"/>
    <n v="500"/>
    <n v="10"/>
    <n v="0"/>
  </r>
  <r>
    <n v="292"/>
    <n v="17"/>
    <n v="2"/>
    <n v="2023"/>
    <d v="2023-02-17T00:00:00"/>
    <s v="CUST292"/>
    <x v="1"/>
    <n v="20"/>
    <x v="0"/>
    <x v="1"/>
    <n v="4"/>
    <n v="300"/>
    <n v="1200"/>
    <n v="24"/>
    <n v="0"/>
  </r>
  <r>
    <n v="284"/>
    <n v="8"/>
    <n v="2"/>
    <n v="2023"/>
    <d v="2023-02-08T00:00:00"/>
    <s v="CUST284"/>
    <x v="1"/>
    <n v="43"/>
    <x v="1"/>
    <x v="0"/>
    <n v="4"/>
    <n v="50"/>
    <n v="200"/>
    <n v="4"/>
    <n v="0"/>
  </r>
  <r>
    <n v="486"/>
    <n v="9"/>
    <n v="4"/>
    <n v="2023"/>
    <d v="2023-04-09T00:00:00"/>
    <s v="CUST486"/>
    <x v="0"/>
    <n v="35"/>
    <x v="1"/>
    <x v="2"/>
    <n v="1"/>
    <n v="25"/>
    <n v="25"/>
    <n v="0.5"/>
    <n v="0"/>
  </r>
  <r>
    <n v="287"/>
    <n v="20"/>
    <n v="2"/>
    <n v="2023"/>
    <d v="2023-02-20T00:00:00"/>
    <s v="CUST287"/>
    <x v="1"/>
    <n v="54"/>
    <x v="2"/>
    <x v="0"/>
    <n v="4"/>
    <n v="25"/>
    <n v="100"/>
    <n v="2"/>
    <n v="0"/>
  </r>
  <r>
    <n v="886"/>
    <n v="9"/>
    <n v="4"/>
    <n v="2023"/>
    <d v="2023-04-09T00:00:00"/>
    <s v="CUST886"/>
    <x v="1"/>
    <n v="37"/>
    <x v="1"/>
    <x v="2"/>
    <n v="3"/>
    <n v="300"/>
    <n v="900"/>
    <n v="18"/>
    <n v="0"/>
  </r>
  <r>
    <n v="294"/>
    <n v="27"/>
    <n v="3"/>
    <n v="2023"/>
    <d v="2023-03-27T00:00:00"/>
    <s v="CUST294"/>
    <x v="0"/>
    <n v="23"/>
    <x v="0"/>
    <x v="0"/>
    <n v="3"/>
    <n v="30"/>
    <n v="90"/>
    <n v="1.8"/>
    <n v="0"/>
  </r>
  <r>
    <n v="288"/>
    <n v="26"/>
    <n v="1"/>
    <n v="2023"/>
    <d v="2023-01-26T00:00:00"/>
    <s v="CUST288"/>
    <x v="1"/>
    <n v="28"/>
    <x v="0"/>
    <x v="0"/>
    <n v="4"/>
    <n v="30"/>
    <n v="120"/>
    <n v="2.4"/>
    <n v="0"/>
  </r>
  <r>
    <n v="901"/>
    <n v="10"/>
    <n v="4"/>
    <n v="2023"/>
    <d v="2023-04-10T00:00:00"/>
    <s v="CUST901"/>
    <x v="1"/>
    <n v="31"/>
    <x v="1"/>
    <x v="2"/>
    <n v="1"/>
    <n v="30"/>
    <n v="30"/>
    <n v="0.6"/>
    <n v="0"/>
  </r>
  <r>
    <n v="291"/>
    <n v="8"/>
    <n v="1"/>
    <n v="2023"/>
    <d v="2023-01-08T00:00:00"/>
    <s v="CUST291"/>
    <x v="1"/>
    <n v="60"/>
    <x v="2"/>
    <x v="0"/>
    <n v="2"/>
    <n v="300"/>
    <n v="600"/>
    <n v="12"/>
    <n v="0"/>
  </r>
  <r>
    <n v="296"/>
    <n v="6"/>
    <n v="9"/>
    <n v="2023"/>
    <d v="2023-09-06T00:00:00"/>
    <s v="CUST296"/>
    <x v="0"/>
    <n v="22"/>
    <x v="0"/>
    <x v="0"/>
    <n v="4"/>
    <n v="300"/>
    <n v="1200"/>
    <n v="24"/>
    <n v="0"/>
  </r>
  <r>
    <n v="174"/>
    <n v="12"/>
    <n v="4"/>
    <n v="2023"/>
    <d v="2023-04-12T00:00:00"/>
    <s v="CUST174"/>
    <x v="0"/>
    <n v="39"/>
    <x v="1"/>
    <x v="1"/>
    <n v="1"/>
    <n v="300"/>
    <n v="300"/>
    <n v="6"/>
    <n v="0"/>
  </r>
  <r>
    <n v="589"/>
    <n v="12"/>
    <n v="4"/>
    <n v="2023"/>
    <d v="2023-04-12T00:00:00"/>
    <s v="CUST589"/>
    <x v="0"/>
    <n v="36"/>
    <x v="1"/>
    <x v="1"/>
    <n v="2"/>
    <n v="500"/>
    <n v="1000"/>
    <n v="20"/>
    <n v="0"/>
  </r>
  <r>
    <n v="300"/>
    <n v="31"/>
    <n v="1"/>
    <n v="2023"/>
    <d v="2023-01-31T00:00:00"/>
    <s v="CUST300"/>
    <x v="0"/>
    <n v="19"/>
    <x v="0"/>
    <x v="2"/>
    <n v="4"/>
    <n v="50"/>
    <n v="200"/>
    <n v="4"/>
    <n v="0"/>
  </r>
  <r>
    <n v="1000"/>
    <n v="12"/>
    <n v="4"/>
    <n v="2023"/>
    <d v="2023-04-12T00:00:00"/>
    <s v="CUST1000"/>
    <x v="1"/>
    <n v="47"/>
    <x v="1"/>
    <x v="2"/>
    <n v="4"/>
    <n v="30"/>
    <n v="120"/>
    <n v="2.4"/>
    <n v="0"/>
  </r>
  <r>
    <n v="210"/>
    <n v="13"/>
    <n v="4"/>
    <n v="2023"/>
    <d v="2023-04-13T00:00:00"/>
    <s v="CUST210"/>
    <x v="1"/>
    <n v="37"/>
    <x v="1"/>
    <x v="2"/>
    <n v="4"/>
    <n v="50"/>
    <n v="200"/>
    <n v="4"/>
    <n v="0"/>
  </r>
  <r>
    <n v="301"/>
    <n v="26"/>
    <n v="3"/>
    <n v="2023"/>
    <d v="2023-03-26T00:00:00"/>
    <s v="CUST301"/>
    <x v="1"/>
    <n v="30"/>
    <x v="1"/>
    <x v="0"/>
    <n v="4"/>
    <n v="30"/>
    <n v="120"/>
    <n v="2.4"/>
    <n v="0"/>
  </r>
  <r>
    <n v="745"/>
    <n v="13"/>
    <n v="4"/>
    <n v="2023"/>
    <d v="2023-04-13T00:00:00"/>
    <s v="CUST745"/>
    <x v="1"/>
    <n v="54"/>
    <x v="2"/>
    <x v="1"/>
    <n v="2"/>
    <n v="50"/>
    <n v="100"/>
    <n v="2"/>
    <n v="0"/>
  </r>
  <r>
    <n v="354"/>
    <n v="15"/>
    <n v="4"/>
    <n v="2023"/>
    <d v="2023-04-15T00:00:00"/>
    <s v="CUST354"/>
    <x v="0"/>
    <n v="49"/>
    <x v="1"/>
    <x v="1"/>
    <n v="4"/>
    <n v="50"/>
    <n v="200"/>
    <n v="4"/>
    <n v="0"/>
  </r>
  <r>
    <n v="408"/>
    <n v="15"/>
    <n v="4"/>
    <n v="2023"/>
    <d v="2023-04-15T00:00:00"/>
    <s v="CUST408"/>
    <x v="0"/>
    <n v="64"/>
    <x v="2"/>
    <x v="1"/>
    <n v="1"/>
    <n v="500"/>
    <n v="500"/>
    <n v="10"/>
    <n v="0"/>
  </r>
  <r>
    <n v="312"/>
    <n v="7"/>
    <n v="9"/>
    <n v="2023"/>
    <d v="2023-09-07T00:00:00"/>
    <s v="CUST312"/>
    <x v="1"/>
    <n v="41"/>
    <x v="1"/>
    <x v="0"/>
    <n v="4"/>
    <n v="30"/>
    <n v="120"/>
    <n v="2.4"/>
    <n v="0"/>
  </r>
  <r>
    <n v="967"/>
    <n v="17"/>
    <n v="4"/>
    <n v="2023"/>
    <d v="2023-04-17T00:00:00"/>
    <s v="CUST967"/>
    <x v="1"/>
    <n v="62"/>
    <x v="2"/>
    <x v="1"/>
    <n v="1"/>
    <n v="25"/>
    <n v="25"/>
    <n v="0.5"/>
    <n v="0"/>
  </r>
  <r>
    <n v="79"/>
    <n v="18"/>
    <n v="4"/>
    <n v="2023"/>
    <d v="2023-04-18T00:00:00"/>
    <s v="CUST079"/>
    <x v="1"/>
    <n v="34"/>
    <x v="1"/>
    <x v="1"/>
    <n v="1"/>
    <n v="300"/>
    <n v="300"/>
    <n v="6"/>
    <n v="0"/>
  </r>
  <r>
    <n v="303"/>
    <n v="2"/>
    <n v="1"/>
    <n v="2023"/>
    <d v="2023-01-02T00:00:00"/>
    <s v="CUST303"/>
    <x v="1"/>
    <n v="19"/>
    <x v="0"/>
    <x v="2"/>
    <n v="3"/>
    <n v="30"/>
    <n v="90"/>
    <n v="1.8"/>
    <n v="0"/>
  </r>
  <r>
    <n v="450"/>
    <n v="18"/>
    <n v="4"/>
    <n v="2023"/>
    <d v="2023-04-18T00:00:00"/>
    <s v="CUST450"/>
    <x v="0"/>
    <n v="59"/>
    <x v="2"/>
    <x v="1"/>
    <n v="2"/>
    <n v="25"/>
    <n v="50"/>
    <n v="1"/>
    <n v="0"/>
  </r>
  <r>
    <n v="562"/>
    <n v="18"/>
    <n v="4"/>
    <n v="2023"/>
    <d v="2023-04-18T00:00:00"/>
    <s v="CUST562"/>
    <x v="1"/>
    <n v="54"/>
    <x v="2"/>
    <x v="2"/>
    <n v="2"/>
    <n v="25"/>
    <n v="50"/>
    <n v="1"/>
    <n v="0"/>
  </r>
  <r>
    <n v="108"/>
    <n v="19"/>
    <n v="4"/>
    <n v="2023"/>
    <d v="2023-04-19T00:00:00"/>
    <s v="CUST108"/>
    <x v="0"/>
    <n v="27"/>
    <x v="0"/>
    <x v="1"/>
    <n v="3"/>
    <n v="25"/>
    <n v="75"/>
    <n v="1.5"/>
    <n v="0"/>
  </r>
  <r>
    <n v="111"/>
    <n v="19"/>
    <n v="4"/>
    <n v="2023"/>
    <d v="2023-04-19T00:00:00"/>
    <s v="CUST111"/>
    <x v="0"/>
    <n v="34"/>
    <x v="1"/>
    <x v="2"/>
    <n v="3"/>
    <n v="500"/>
    <n v="1500"/>
    <n v="30"/>
    <n v="0"/>
  </r>
  <r>
    <n v="207"/>
    <n v="19"/>
    <n v="4"/>
    <n v="2023"/>
    <d v="2023-04-19T00:00:00"/>
    <s v="CUST207"/>
    <x v="0"/>
    <n v="42"/>
    <x v="1"/>
    <x v="1"/>
    <n v="2"/>
    <n v="25"/>
    <n v="50"/>
    <n v="1"/>
    <n v="0"/>
  </r>
  <r>
    <n v="314"/>
    <n v="8"/>
    <n v="4"/>
    <n v="2023"/>
    <d v="2023-04-08T00:00:00"/>
    <s v="CUST314"/>
    <x v="1"/>
    <n v="52"/>
    <x v="2"/>
    <x v="0"/>
    <n v="4"/>
    <n v="30"/>
    <n v="120"/>
    <n v="2.4"/>
    <n v="0"/>
  </r>
  <r>
    <n v="315"/>
    <n v="1"/>
    <n v="6"/>
    <n v="2023"/>
    <d v="2023-06-01T00:00:00"/>
    <s v="CUST315"/>
    <x v="1"/>
    <n v="47"/>
    <x v="1"/>
    <x v="0"/>
    <n v="2"/>
    <n v="30"/>
    <n v="60"/>
    <n v="1.2"/>
    <n v="0"/>
  </r>
  <r>
    <n v="316"/>
    <n v="22"/>
    <n v="4"/>
    <n v="2023"/>
    <d v="2023-04-22T00:00:00"/>
    <s v="CUST316"/>
    <x v="0"/>
    <n v="48"/>
    <x v="1"/>
    <x v="0"/>
    <n v="2"/>
    <n v="25"/>
    <n v="50"/>
    <n v="1"/>
    <n v="0"/>
  </r>
  <r>
    <n v="246"/>
    <n v="20"/>
    <n v="4"/>
    <n v="2023"/>
    <d v="2023-04-20T00:00:00"/>
    <s v="CUST246"/>
    <x v="0"/>
    <n v="48"/>
    <x v="1"/>
    <x v="2"/>
    <n v="2"/>
    <n v="25"/>
    <n v="50"/>
    <n v="1"/>
    <n v="0"/>
  </r>
  <r>
    <n v="298"/>
    <n v="20"/>
    <n v="4"/>
    <n v="2023"/>
    <d v="2023-04-20T00:00:00"/>
    <s v="CUST298"/>
    <x v="1"/>
    <n v="27"/>
    <x v="0"/>
    <x v="1"/>
    <n v="4"/>
    <n v="300"/>
    <n v="1200"/>
    <n v="24"/>
    <n v="0"/>
  </r>
  <r>
    <n v="374"/>
    <n v="20"/>
    <n v="4"/>
    <n v="2023"/>
    <d v="2023-04-20T00:00:00"/>
    <s v="CUST374"/>
    <x v="0"/>
    <n v="59"/>
    <x v="2"/>
    <x v="1"/>
    <n v="3"/>
    <n v="25"/>
    <n v="75"/>
    <n v="1.5"/>
    <n v="0"/>
  </r>
  <r>
    <n v="318"/>
    <n v="24"/>
    <n v="10"/>
    <n v="2023"/>
    <d v="2023-10-24T00:00:00"/>
    <s v="CUST318"/>
    <x v="1"/>
    <n v="61"/>
    <x v="2"/>
    <x v="0"/>
    <n v="1"/>
    <n v="25"/>
    <n v="25"/>
    <n v="0.5"/>
    <n v="0"/>
  </r>
  <r>
    <n v="319"/>
    <n v="5"/>
    <n v="10"/>
    <n v="2023"/>
    <d v="2023-10-05T00:00:00"/>
    <s v="CUST319"/>
    <x v="1"/>
    <n v="31"/>
    <x v="1"/>
    <x v="0"/>
    <n v="1"/>
    <n v="500"/>
    <n v="500"/>
    <n v="10"/>
    <n v="0"/>
  </r>
  <r>
    <n v="305"/>
    <n v="16"/>
    <n v="5"/>
    <n v="2023"/>
    <d v="2023-05-16T00:00:00"/>
    <s v="CUST305"/>
    <x v="0"/>
    <n v="18"/>
    <x v="0"/>
    <x v="1"/>
    <n v="1"/>
    <n v="30"/>
    <n v="30"/>
    <n v="0.6"/>
    <n v="0"/>
  </r>
  <r>
    <n v="893"/>
    <n v="21"/>
    <n v="4"/>
    <n v="2023"/>
    <d v="2023-04-21T00:00:00"/>
    <s v="CUST893"/>
    <x v="1"/>
    <n v="49"/>
    <x v="1"/>
    <x v="2"/>
    <n v="1"/>
    <n v="50"/>
    <n v="50"/>
    <n v="1"/>
    <n v="0"/>
  </r>
  <r>
    <n v="337"/>
    <n v="1"/>
    <n v="5"/>
    <n v="2023"/>
    <d v="2023-05-01T00:00:00"/>
    <s v="CUST337"/>
    <x v="1"/>
    <n v="38"/>
    <x v="1"/>
    <x v="0"/>
    <n v="1"/>
    <n v="500"/>
    <n v="500"/>
    <n v="10"/>
    <n v="0"/>
  </r>
  <r>
    <n v="340"/>
    <n v="19"/>
    <n v="10"/>
    <n v="2023"/>
    <d v="2023-10-19T00:00:00"/>
    <s v="CUST340"/>
    <x v="0"/>
    <n v="36"/>
    <x v="1"/>
    <x v="0"/>
    <n v="4"/>
    <n v="300"/>
    <n v="1200"/>
    <n v="24"/>
    <n v="0"/>
  </r>
  <r>
    <n v="341"/>
    <n v="7"/>
    <n v="5"/>
    <n v="2023"/>
    <d v="2023-05-07T00:00:00"/>
    <s v="CUST341"/>
    <x v="1"/>
    <n v="31"/>
    <x v="1"/>
    <x v="0"/>
    <n v="4"/>
    <n v="50"/>
    <n v="200"/>
    <n v="4"/>
    <n v="0"/>
  </r>
  <r>
    <n v="28"/>
    <n v="23"/>
    <n v="4"/>
    <n v="2023"/>
    <d v="2023-04-23T00:00:00"/>
    <s v="CUST028"/>
    <x v="0"/>
    <n v="43"/>
    <x v="1"/>
    <x v="1"/>
    <n v="1"/>
    <n v="500"/>
    <n v="500"/>
    <n v="10"/>
    <n v="0"/>
  </r>
  <r>
    <n v="98"/>
    <n v="23"/>
    <n v="4"/>
    <n v="2023"/>
    <d v="2023-04-23T00:00:00"/>
    <s v="CUST098"/>
    <x v="0"/>
    <n v="55"/>
    <x v="2"/>
    <x v="1"/>
    <n v="2"/>
    <n v="50"/>
    <n v="100"/>
    <n v="2"/>
    <n v="0"/>
  </r>
  <r>
    <n v="317"/>
    <n v="30"/>
    <n v="1"/>
    <n v="2023"/>
    <d v="2023-01-30T00:00:00"/>
    <s v="CUST317"/>
    <x v="1"/>
    <n v="22"/>
    <x v="0"/>
    <x v="2"/>
    <n v="3"/>
    <n v="30"/>
    <n v="90"/>
    <n v="1.8"/>
    <n v="0"/>
  </r>
  <r>
    <n v="230"/>
    <n v="23"/>
    <n v="4"/>
    <n v="2023"/>
    <d v="2023-04-23T00:00:00"/>
    <s v="CUST230"/>
    <x v="1"/>
    <n v="54"/>
    <x v="2"/>
    <x v="1"/>
    <n v="1"/>
    <n v="25"/>
    <n v="25"/>
    <n v="0.5"/>
    <n v="0"/>
  </r>
  <r>
    <n v="342"/>
    <n v="24"/>
    <n v="10"/>
    <n v="2023"/>
    <d v="2023-10-24T00:00:00"/>
    <s v="CUST342"/>
    <x v="0"/>
    <n v="43"/>
    <x v="1"/>
    <x v="0"/>
    <n v="4"/>
    <n v="500"/>
    <n v="2000"/>
    <n v="40"/>
    <n v="0"/>
  </r>
  <r>
    <n v="346"/>
    <n v="11"/>
    <n v="2"/>
    <n v="2023"/>
    <d v="2023-02-11T00:00:00"/>
    <s v="CUST346"/>
    <x v="1"/>
    <n v="59"/>
    <x v="2"/>
    <x v="0"/>
    <n v="2"/>
    <n v="500"/>
    <n v="1000"/>
    <n v="20"/>
    <n v="0"/>
  </r>
  <r>
    <n v="693"/>
    <n v="23"/>
    <n v="4"/>
    <n v="2023"/>
    <d v="2023-04-23T00:00:00"/>
    <s v="CUST693"/>
    <x v="1"/>
    <n v="41"/>
    <x v="1"/>
    <x v="1"/>
    <n v="3"/>
    <n v="500"/>
    <n v="1500"/>
    <n v="30"/>
    <n v="0"/>
  </r>
  <r>
    <n v="351"/>
    <n v="25"/>
    <n v="9"/>
    <n v="2023"/>
    <d v="2023-09-25T00:00:00"/>
    <s v="CUST351"/>
    <x v="0"/>
    <n v="56"/>
    <x v="2"/>
    <x v="0"/>
    <n v="3"/>
    <n v="30"/>
    <n v="90"/>
    <n v="1.8"/>
    <n v="0"/>
  </r>
  <r>
    <n v="863"/>
    <n v="24"/>
    <n v="4"/>
    <n v="2023"/>
    <d v="2023-04-24T00:00:00"/>
    <s v="CUST863"/>
    <x v="0"/>
    <n v="30"/>
    <x v="1"/>
    <x v="2"/>
    <n v="2"/>
    <n v="25"/>
    <n v="50"/>
    <n v="1"/>
    <n v="0"/>
  </r>
  <r>
    <n v="6"/>
    <n v="25"/>
    <n v="4"/>
    <n v="2023"/>
    <d v="2023-04-25T00:00:00"/>
    <s v="CUST006"/>
    <x v="0"/>
    <n v="45"/>
    <x v="1"/>
    <x v="1"/>
    <n v="1"/>
    <n v="30"/>
    <n v="30"/>
    <n v="0.6"/>
    <n v="0"/>
  </r>
  <r>
    <n v="359"/>
    <n v="22"/>
    <n v="7"/>
    <n v="2023"/>
    <d v="2023-07-22T00:00:00"/>
    <s v="CUST359"/>
    <x v="1"/>
    <n v="50"/>
    <x v="2"/>
    <x v="0"/>
    <n v="1"/>
    <n v="50"/>
    <n v="50"/>
    <n v="1"/>
    <n v="0"/>
  </r>
  <r>
    <n v="360"/>
    <n v="9"/>
    <n v="3"/>
    <n v="2023"/>
    <d v="2023-03-09T00:00:00"/>
    <s v="CUST360"/>
    <x v="1"/>
    <n v="42"/>
    <x v="1"/>
    <x v="0"/>
    <n v="4"/>
    <n v="25"/>
    <n v="100"/>
    <n v="2"/>
    <n v="0"/>
  </r>
  <r>
    <n v="362"/>
    <n v="27"/>
    <n v="11"/>
    <n v="2023"/>
    <d v="2023-11-27T00:00:00"/>
    <s v="CUST362"/>
    <x v="1"/>
    <n v="50"/>
    <x v="2"/>
    <x v="0"/>
    <n v="1"/>
    <n v="25"/>
    <n v="25"/>
    <n v="0.5"/>
    <n v="0"/>
  </r>
  <r>
    <n v="588"/>
    <n v="26"/>
    <n v="4"/>
    <n v="2023"/>
    <d v="2023-04-26T00:00:00"/>
    <s v="CUST588"/>
    <x v="1"/>
    <n v="38"/>
    <x v="1"/>
    <x v="2"/>
    <n v="2"/>
    <n v="30"/>
    <n v="60"/>
    <n v="1.2"/>
    <n v="0"/>
  </r>
  <r>
    <n v="953"/>
    <n v="26"/>
    <n v="4"/>
    <n v="2023"/>
    <d v="2023-04-26T00:00:00"/>
    <s v="CUST953"/>
    <x v="1"/>
    <n v="45"/>
    <x v="1"/>
    <x v="1"/>
    <n v="3"/>
    <n v="30"/>
    <n v="90"/>
    <n v="1.8"/>
    <n v="0"/>
  </r>
  <r>
    <n v="66"/>
    <n v="27"/>
    <n v="4"/>
    <n v="2023"/>
    <d v="2023-04-27T00:00:00"/>
    <s v="CUST066"/>
    <x v="0"/>
    <n v="45"/>
    <x v="1"/>
    <x v="2"/>
    <n v="1"/>
    <n v="30"/>
    <n v="30"/>
    <n v="0.6"/>
    <n v="0"/>
  </r>
  <r>
    <n v="365"/>
    <n v="11"/>
    <n v="6"/>
    <n v="2023"/>
    <d v="2023-06-11T00:00:00"/>
    <s v="CUST365"/>
    <x v="1"/>
    <n v="31"/>
    <x v="1"/>
    <x v="0"/>
    <n v="1"/>
    <n v="300"/>
    <n v="300"/>
    <n v="6"/>
    <n v="0"/>
  </r>
  <r>
    <n v="903"/>
    <n v="27"/>
    <n v="4"/>
    <n v="2023"/>
    <d v="2023-04-27T00:00:00"/>
    <s v="CUST903"/>
    <x v="0"/>
    <n v="51"/>
    <x v="2"/>
    <x v="1"/>
    <n v="4"/>
    <n v="50"/>
    <n v="200"/>
    <n v="4"/>
    <n v="0"/>
  </r>
  <r>
    <n v="102"/>
    <n v="28"/>
    <n v="4"/>
    <n v="2023"/>
    <d v="2023-04-28T00:00:00"/>
    <s v="CUST102"/>
    <x v="0"/>
    <n v="47"/>
    <x v="1"/>
    <x v="1"/>
    <n v="2"/>
    <n v="25"/>
    <n v="50"/>
    <n v="1"/>
    <n v="0"/>
  </r>
  <r>
    <n v="228"/>
    <n v="28"/>
    <n v="4"/>
    <n v="2023"/>
    <d v="2023-04-28T00:00:00"/>
    <s v="CUST228"/>
    <x v="0"/>
    <n v="59"/>
    <x v="2"/>
    <x v="2"/>
    <n v="2"/>
    <n v="30"/>
    <n v="60"/>
    <n v="1.2"/>
    <n v="0"/>
  </r>
  <r>
    <n v="366"/>
    <n v="7"/>
    <n v="2"/>
    <n v="2023"/>
    <d v="2023-02-07T00:00:00"/>
    <s v="CUST366"/>
    <x v="1"/>
    <n v="57"/>
    <x v="2"/>
    <x v="0"/>
    <n v="2"/>
    <n v="50"/>
    <n v="100"/>
    <n v="2"/>
    <n v="0"/>
  </r>
  <r>
    <n v="660"/>
    <n v="29"/>
    <n v="4"/>
    <n v="2023"/>
    <d v="2023-04-29T00:00:00"/>
    <s v="CUST660"/>
    <x v="0"/>
    <n v="38"/>
    <x v="1"/>
    <x v="1"/>
    <n v="2"/>
    <n v="500"/>
    <n v="1000"/>
    <n v="20"/>
    <n v="0"/>
  </r>
  <r>
    <n v="368"/>
    <n v="23"/>
    <n v="8"/>
    <n v="2023"/>
    <d v="2023-08-23T00:00:00"/>
    <s v="CUST368"/>
    <x v="0"/>
    <n v="56"/>
    <x v="2"/>
    <x v="0"/>
    <n v="4"/>
    <n v="300"/>
    <n v="1200"/>
    <n v="24"/>
    <n v="0"/>
  </r>
  <r>
    <n v="375"/>
    <n v="17"/>
    <n v="9"/>
    <n v="2023"/>
    <d v="2023-09-17T00:00:00"/>
    <s v="CUST375"/>
    <x v="1"/>
    <n v="32"/>
    <x v="1"/>
    <x v="0"/>
    <n v="1"/>
    <n v="50"/>
    <n v="50"/>
    <n v="1"/>
    <n v="0"/>
  </r>
  <r>
    <n v="18"/>
    <n v="30"/>
    <n v="4"/>
    <n v="2023"/>
    <d v="2023-04-30T00:00:00"/>
    <s v="CUST018"/>
    <x v="0"/>
    <n v="47"/>
    <x v="1"/>
    <x v="2"/>
    <n v="2"/>
    <n v="25"/>
    <n v="50"/>
    <n v="1"/>
    <n v="0"/>
  </r>
  <r>
    <n v="69"/>
    <n v="30"/>
    <n v="4"/>
    <n v="2023"/>
    <d v="2023-04-30T00:00:00"/>
    <s v="CUST069"/>
    <x v="0"/>
    <n v="56"/>
    <x v="2"/>
    <x v="1"/>
    <n v="3"/>
    <n v="25"/>
    <n v="75"/>
    <n v="1.5"/>
    <n v="0"/>
  </r>
  <r>
    <n v="377"/>
    <n v="9"/>
    <n v="3"/>
    <n v="2023"/>
    <d v="2023-03-09T00:00:00"/>
    <s v="CUST377"/>
    <x v="0"/>
    <n v="46"/>
    <x v="1"/>
    <x v="0"/>
    <n v="4"/>
    <n v="50"/>
    <n v="200"/>
    <n v="4"/>
    <n v="0"/>
  </r>
  <r>
    <n v="379"/>
    <n v="5"/>
    <n v="2"/>
    <n v="2023"/>
    <d v="2023-02-05T00:00:00"/>
    <s v="CUST379"/>
    <x v="0"/>
    <n v="47"/>
    <x v="1"/>
    <x v="0"/>
    <n v="1"/>
    <n v="25"/>
    <n v="25"/>
    <n v="0.5"/>
    <n v="0"/>
  </r>
  <r>
    <n v="381"/>
    <n v="9"/>
    <n v="7"/>
    <n v="2023"/>
    <d v="2023-07-09T00:00:00"/>
    <s v="CUST381"/>
    <x v="0"/>
    <n v="44"/>
    <x v="1"/>
    <x v="0"/>
    <n v="4"/>
    <n v="25"/>
    <n v="100"/>
    <n v="2"/>
    <n v="0"/>
  </r>
  <r>
    <n v="652"/>
    <n v="1"/>
    <n v="5"/>
    <n v="2023"/>
    <d v="2023-05-01T00:00:00"/>
    <s v="CUST652"/>
    <x v="0"/>
    <n v="34"/>
    <x v="1"/>
    <x v="1"/>
    <n v="2"/>
    <n v="50"/>
    <n v="100"/>
    <n v="2"/>
    <n v="0"/>
  </r>
  <r>
    <n v="382"/>
    <n v="26"/>
    <n v="5"/>
    <n v="2023"/>
    <d v="2023-05-26T00:00:00"/>
    <s v="CUST382"/>
    <x v="0"/>
    <n v="53"/>
    <x v="2"/>
    <x v="0"/>
    <n v="2"/>
    <n v="500"/>
    <n v="1000"/>
    <n v="20"/>
    <n v="0"/>
  </r>
  <r>
    <n v="293"/>
    <n v="2"/>
    <n v="5"/>
    <n v="2023"/>
    <d v="2023-05-02T00:00:00"/>
    <s v="CUST293"/>
    <x v="1"/>
    <n v="50"/>
    <x v="2"/>
    <x v="2"/>
    <n v="3"/>
    <n v="30"/>
    <n v="90"/>
    <n v="1.8"/>
    <n v="0"/>
  </r>
  <r>
    <n v="460"/>
    <n v="2"/>
    <n v="5"/>
    <n v="2023"/>
    <d v="2023-05-02T00:00:00"/>
    <s v="CUST460"/>
    <x v="1"/>
    <n v="40"/>
    <x v="1"/>
    <x v="1"/>
    <n v="1"/>
    <n v="50"/>
    <n v="50"/>
    <n v="1"/>
    <n v="0"/>
  </r>
  <r>
    <n v="384"/>
    <n v="13"/>
    <n v="8"/>
    <n v="2023"/>
    <d v="2023-08-13T00:00:00"/>
    <s v="CUST384"/>
    <x v="1"/>
    <n v="55"/>
    <x v="2"/>
    <x v="0"/>
    <n v="1"/>
    <n v="500"/>
    <n v="500"/>
    <n v="10"/>
    <n v="0"/>
  </r>
  <r>
    <n v="357"/>
    <n v="3"/>
    <n v="5"/>
    <n v="2023"/>
    <d v="2023-05-03T00:00:00"/>
    <s v="CUST357"/>
    <x v="0"/>
    <n v="40"/>
    <x v="1"/>
    <x v="2"/>
    <n v="3"/>
    <n v="25"/>
    <n v="75"/>
    <n v="1.5"/>
    <n v="0"/>
  </r>
  <r>
    <n v="326"/>
    <n v="15"/>
    <n v="9"/>
    <n v="2023"/>
    <d v="2023-09-15T00:00:00"/>
    <s v="CUST326"/>
    <x v="0"/>
    <n v="18"/>
    <x v="0"/>
    <x v="0"/>
    <n v="3"/>
    <n v="25"/>
    <n v="75"/>
    <n v="1.5"/>
    <n v="0"/>
  </r>
  <r>
    <n v="749"/>
    <n v="3"/>
    <n v="5"/>
    <n v="2023"/>
    <d v="2023-05-03T00:00:00"/>
    <s v="CUST749"/>
    <x v="1"/>
    <n v="42"/>
    <x v="1"/>
    <x v="1"/>
    <n v="1"/>
    <n v="30"/>
    <n v="30"/>
    <n v="0.6"/>
    <n v="0"/>
  </r>
  <r>
    <n v="974"/>
    <n v="3"/>
    <n v="5"/>
    <n v="2023"/>
    <d v="2023-05-03T00:00:00"/>
    <s v="CUST974"/>
    <x v="1"/>
    <n v="47"/>
    <x v="1"/>
    <x v="1"/>
    <n v="1"/>
    <n v="30"/>
    <n v="30"/>
    <n v="0.6"/>
    <n v="0"/>
  </r>
  <r>
    <n v="190"/>
    <n v="4"/>
    <n v="5"/>
    <n v="2023"/>
    <d v="2023-05-04T00:00:00"/>
    <s v="CUST190"/>
    <x v="0"/>
    <n v="60"/>
    <x v="2"/>
    <x v="1"/>
    <n v="3"/>
    <n v="30"/>
    <n v="90"/>
    <n v="1.8"/>
    <n v="0"/>
  </r>
  <r>
    <n v="392"/>
    <n v="8"/>
    <n v="12"/>
    <n v="2023"/>
    <d v="2023-12-08T00:00:00"/>
    <s v="CUST392"/>
    <x v="1"/>
    <n v="27"/>
    <x v="0"/>
    <x v="0"/>
    <n v="2"/>
    <n v="300"/>
    <n v="600"/>
    <n v="12"/>
    <n v="0"/>
  </r>
  <r>
    <n v="339"/>
    <n v="3"/>
    <n v="3"/>
    <n v="2023"/>
    <d v="2023-03-03T00:00:00"/>
    <s v="CUST339"/>
    <x v="0"/>
    <n v="22"/>
    <x v="0"/>
    <x v="2"/>
    <n v="2"/>
    <n v="25"/>
    <n v="50"/>
    <n v="1"/>
    <n v="0"/>
  </r>
  <r>
    <n v="252"/>
    <n v="5"/>
    <n v="5"/>
    <n v="2023"/>
    <d v="2023-05-05T00:00:00"/>
    <s v="CUST252"/>
    <x v="1"/>
    <n v="54"/>
    <x v="2"/>
    <x v="2"/>
    <n v="1"/>
    <n v="300"/>
    <n v="300"/>
    <n v="6"/>
    <n v="0"/>
  </r>
  <r>
    <n v="343"/>
    <n v="1"/>
    <n v="11"/>
    <n v="2023"/>
    <d v="2023-11-01T00:00:00"/>
    <s v="CUST343"/>
    <x v="1"/>
    <n v="21"/>
    <x v="0"/>
    <x v="2"/>
    <n v="2"/>
    <n v="25"/>
    <n v="50"/>
    <n v="1"/>
    <n v="0"/>
  </r>
  <r>
    <n v="779"/>
    <n v="5"/>
    <n v="5"/>
    <n v="2023"/>
    <d v="2023-05-05T00:00:00"/>
    <s v="CUST779"/>
    <x v="0"/>
    <n v="56"/>
    <x v="2"/>
    <x v="2"/>
    <n v="2"/>
    <n v="500"/>
    <n v="1000"/>
    <n v="20"/>
    <n v="0"/>
  </r>
  <r>
    <n v="394"/>
    <n v="3"/>
    <n v="6"/>
    <n v="2023"/>
    <d v="2023-06-03T00:00:00"/>
    <s v="CUST394"/>
    <x v="0"/>
    <n v="27"/>
    <x v="0"/>
    <x v="0"/>
    <n v="1"/>
    <n v="500"/>
    <n v="500"/>
    <n v="10"/>
    <n v="0"/>
  </r>
  <r>
    <n v="364"/>
    <n v="23"/>
    <n v="8"/>
    <n v="2023"/>
    <d v="2023-08-23T00:00:00"/>
    <s v="CUST364"/>
    <x v="0"/>
    <n v="19"/>
    <x v="0"/>
    <x v="1"/>
    <n v="1"/>
    <n v="500"/>
    <n v="500"/>
    <n v="10"/>
    <n v="0"/>
  </r>
  <r>
    <n v="5"/>
    <n v="6"/>
    <n v="5"/>
    <n v="2023"/>
    <d v="2023-05-06T00:00:00"/>
    <s v="CUST005"/>
    <x v="1"/>
    <n v="30"/>
    <x v="1"/>
    <x v="1"/>
    <n v="2"/>
    <n v="50"/>
    <n v="100"/>
    <n v="2"/>
    <n v="0"/>
  </r>
  <r>
    <n v="90"/>
    <n v="6"/>
    <n v="5"/>
    <n v="2023"/>
    <d v="2023-05-06T00:00:00"/>
    <s v="CUST090"/>
    <x v="0"/>
    <n v="51"/>
    <x v="2"/>
    <x v="2"/>
    <n v="1"/>
    <n v="30"/>
    <n v="30"/>
    <n v="0.6"/>
    <n v="0"/>
  </r>
  <r>
    <n v="380"/>
    <n v="6"/>
    <n v="5"/>
    <n v="2023"/>
    <d v="2023-05-06T00:00:00"/>
    <s v="CUST380"/>
    <x v="1"/>
    <n v="56"/>
    <x v="2"/>
    <x v="2"/>
    <n v="2"/>
    <n v="300"/>
    <n v="600"/>
    <n v="12"/>
    <n v="0"/>
  </r>
  <r>
    <n v="593"/>
    <n v="6"/>
    <n v="5"/>
    <n v="2023"/>
    <d v="2023-05-06T00:00:00"/>
    <s v="CUST593"/>
    <x v="1"/>
    <n v="35"/>
    <x v="1"/>
    <x v="2"/>
    <n v="2"/>
    <n v="30"/>
    <n v="60"/>
    <n v="1.2"/>
    <n v="0"/>
  </r>
  <r>
    <n v="820"/>
    <n v="6"/>
    <n v="5"/>
    <n v="2023"/>
    <d v="2023-05-06T00:00:00"/>
    <s v="CUST820"/>
    <x v="1"/>
    <n v="49"/>
    <x v="1"/>
    <x v="2"/>
    <n v="4"/>
    <n v="50"/>
    <n v="200"/>
    <n v="4"/>
    <n v="0"/>
  </r>
  <r>
    <n v="120"/>
    <n v="7"/>
    <n v="5"/>
    <n v="2023"/>
    <d v="2023-05-07T00:00:00"/>
    <s v="CUST120"/>
    <x v="1"/>
    <n v="60"/>
    <x v="2"/>
    <x v="1"/>
    <n v="1"/>
    <n v="50"/>
    <n v="50"/>
    <n v="1"/>
    <n v="0"/>
  </r>
  <r>
    <n v="221"/>
    <n v="7"/>
    <n v="5"/>
    <n v="2023"/>
    <d v="2023-05-07T00:00:00"/>
    <s v="CUST221"/>
    <x v="1"/>
    <n v="39"/>
    <x v="1"/>
    <x v="1"/>
    <n v="2"/>
    <n v="300"/>
    <n v="600"/>
    <n v="12"/>
    <n v="0"/>
  </r>
  <r>
    <n v="398"/>
    <n v="16"/>
    <n v="5"/>
    <n v="2023"/>
    <d v="2023-05-16T00:00:00"/>
    <s v="CUST398"/>
    <x v="0"/>
    <n v="48"/>
    <x v="1"/>
    <x v="0"/>
    <n v="2"/>
    <n v="300"/>
    <n v="600"/>
    <n v="12"/>
    <n v="0"/>
  </r>
  <r>
    <n v="640"/>
    <n v="7"/>
    <n v="5"/>
    <n v="2023"/>
    <d v="2023-05-07T00:00:00"/>
    <s v="CUST640"/>
    <x v="0"/>
    <n v="51"/>
    <x v="2"/>
    <x v="2"/>
    <n v="4"/>
    <n v="30"/>
    <n v="120"/>
    <n v="2.4"/>
    <n v="0"/>
  </r>
  <r>
    <n v="744"/>
    <n v="7"/>
    <n v="5"/>
    <n v="2023"/>
    <d v="2023-05-07T00:00:00"/>
    <s v="CUST744"/>
    <x v="1"/>
    <n v="40"/>
    <x v="1"/>
    <x v="2"/>
    <n v="1"/>
    <n v="25"/>
    <n v="25"/>
    <n v="0.5"/>
    <n v="0"/>
  </r>
  <r>
    <n v="369"/>
    <n v="15"/>
    <n v="11"/>
    <n v="2023"/>
    <d v="2023-11-15T00:00:00"/>
    <s v="CUST369"/>
    <x v="1"/>
    <n v="23"/>
    <x v="0"/>
    <x v="2"/>
    <n v="3"/>
    <n v="500"/>
    <n v="1500"/>
    <n v="30"/>
    <n v="0"/>
  </r>
  <r>
    <n v="370"/>
    <n v="16"/>
    <n v="10"/>
    <n v="2023"/>
    <d v="2023-10-16T00:00:00"/>
    <s v="CUST370"/>
    <x v="1"/>
    <n v="23"/>
    <x v="0"/>
    <x v="2"/>
    <n v="2"/>
    <n v="30"/>
    <n v="60"/>
    <n v="1.2"/>
    <n v="0"/>
  </r>
  <r>
    <n v="400"/>
    <n v="24"/>
    <n v="2"/>
    <n v="2023"/>
    <d v="2023-02-24T00:00:00"/>
    <s v="CUST400"/>
    <x v="1"/>
    <n v="53"/>
    <x v="2"/>
    <x v="0"/>
    <n v="4"/>
    <n v="50"/>
    <n v="200"/>
    <n v="4"/>
    <n v="0"/>
  </r>
  <r>
    <n v="371"/>
    <n v="21"/>
    <n v="2"/>
    <n v="2023"/>
    <d v="2023-02-21T00:00:00"/>
    <s v="CUST371"/>
    <x v="0"/>
    <n v="20"/>
    <x v="0"/>
    <x v="1"/>
    <n v="1"/>
    <n v="25"/>
    <n v="25"/>
    <n v="0.5"/>
    <n v="0"/>
  </r>
  <r>
    <n v="620"/>
    <n v="8"/>
    <n v="5"/>
    <n v="2023"/>
    <d v="2023-05-08T00:00:00"/>
    <s v="CUST620"/>
    <x v="1"/>
    <n v="63"/>
    <x v="2"/>
    <x v="2"/>
    <n v="3"/>
    <n v="25"/>
    <n v="75"/>
    <n v="1.5"/>
    <n v="0"/>
  </r>
  <r>
    <n v="946"/>
    <n v="8"/>
    <n v="5"/>
    <n v="2023"/>
    <d v="2023-05-08T00:00:00"/>
    <s v="CUST946"/>
    <x v="1"/>
    <n v="62"/>
    <x v="2"/>
    <x v="2"/>
    <n v="4"/>
    <n v="500"/>
    <n v="2000"/>
    <n v="40"/>
    <n v="0"/>
  </r>
  <r>
    <n v="401"/>
    <n v="11"/>
    <n v="10"/>
    <n v="2023"/>
    <d v="2023-10-11T00:00:00"/>
    <s v="CUST401"/>
    <x v="0"/>
    <n v="62"/>
    <x v="2"/>
    <x v="0"/>
    <n v="1"/>
    <n v="300"/>
    <n v="300"/>
    <n v="6"/>
    <n v="0"/>
  </r>
  <r>
    <n v="414"/>
    <n v="9"/>
    <n v="5"/>
    <n v="2023"/>
    <d v="2023-05-09T00:00:00"/>
    <s v="CUST414"/>
    <x v="1"/>
    <n v="48"/>
    <x v="1"/>
    <x v="1"/>
    <n v="4"/>
    <n v="25"/>
    <n v="100"/>
    <n v="2"/>
    <n v="0"/>
  </r>
  <r>
    <n v="883"/>
    <n v="9"/>
    <n v="5"/>
    <n v="2023"/>
    <d v="2023-05-09T00:00:00"/>
    <s v="CUST883"/>
    <x v="1"/>
    <n v="40"/>
    <x v="1"/>
    <x v="2"/>
    <n v="1"/>
    <n v="500"/>
    <n v="500"/>
    <n v="10"/>
    <n v="0"/>
  </r>
  <r>
    <n v="402"/>
    <n v="21"/>
    <n v="3"/>
    <n v="2023"/>
    <d v="2023-03-21T00:00:00"/>
    <s v="CUST402"/>
    <x v="0"/>
    <n v="41"/>
    <x v="1"/>
    <x v="0"/>
    <n v="2"/>
    <n v="300"/>
    <n v="600"/>
    <n v="12"/>
    <n v="0"/>
  </r>
  <r>
    <n v="403"/>
    <n v="20"/>
    <n v="5"/>
    <n v="2023"/>
    <d v="2023-05-20T00:00:00"/>
    <s v="CUST403"/>
    <x v="1"/>
    <n v="32"/>
    <x v="1"/>
    <x v="0"/>
    <n v="2"/>
    <n v="300"/>
    <n v="600"/>
    <n v="12"/>
    <n v="0"/>
  </r>
  <r>
    <n v="405"/>
    <n v="6"/>
    <n v="11"/>
    <n v="2023"/>
    <d v="2023-11-06T00:00:00"/>
    <s v="CUST405"/>
    <x v="0"/>
    <n v="25"/>
    <x v="0"/>
    <x v="0"/>
    <n v="4"/>
    <n v="300"/>
    <n v="1200"/>
    <n v="24"/>
    <n v="0"/>
  </r>
  <r>
    <n v="410"/>
    <n v="21"/>
    <n v="11"/>
    <n v="2023"/>
    <d v="2023-11-21T00:00:00"/>
    <s v="CUST410"/>
    <x v="0"/>
    <n v="29"/>
    <x v="0"/>
    <x v="0"/>
    <n v="2"/>
    <n v="50"/>
    <n v="100"/>
    <n v="2"/>
    <n v="0"/>
  </r>
  <r>
    <n v="639"/>
    <n v="13"/>
    <n v="5"/>
    <n v="2023"/>
    <d v="2023-05-13T00:00:00"/>
    <s v="CUST639"/>
    <x v="0"/>
    <n v="62"/>
    <x v="2"/>
    <x v="1"/>
    <n v="4"/>
    <n v="50"/>
    <n v="200"/>
    <n v="4"/>
    <n v="0"/>
  </r>
  <r>
    <n v="838"/>
    <n v="13"/>
    <n v="5"/>
    <n v="2023"/>
    <d v="2023-05-13T00:00:00"/>
    <s v="CUST838"/>
    <x v="1"/>
    <n v="47"/>
    <x v="1"/>
    <x v="2"/>
    <n v="2"/>
    <n v="300"/>
    <n v="600"/>
    <n v="12"/>
    <n v="0"/>
  </r>
  <r>
    <n v="353"/>
    <n v="14"/>
    <n v="5"/>
    <n v="2023"/>
    <d v="2023-05-14T00:00:00"/>
    <s v="CUST353"/>
    <x v="1"/>
    <n v="31"/>
    <x v="1"/>
    <x v="2"/>
    <n v="1"/>
    <n v="500"/>
    <n v="500"/>
    <n v="10"/>
    <n v="0"/>
  </r>
  <r>
    <n v="501"/>
    <n v="14"/>
    <n v="5"/>
    <n v="2023"/>
    <d v="2023-05-14T00:00:00"/>
    <s v="CUST501"/>
    <x v="1"/>
    <n v="39"/>
    <x v="1"/>
    <x v="2"/>
    <n v="2"/>
    <n v="30"/>
    <n v="60"/>
    <n v="1.2"/>
    <n v="0"/>
  </r>
  <r>
    <n v="415"/>
    <n v="27"/>
    <n v="1"/>
    <n v="2023"/>
    <d v="2023-01-27T00:00:00"/>
    <s v="CUST415"/>
    <x v="1"/>
    <n v="53"/>
    <x v="2"/>
    <x v="0"/>
    <n v="2"/>
    <n v="30"/>
    <n v="60"/>
    <n v="1.2"/>
    <n v="0"/>
  </r>
  <r>
    <n v="123"/>
    <n v="15"/>
    <n v="5"/>
    <n v="2023"/>
    <d v="2023-05-15T00:00:00"/>
    <s v="CUST123"/>
    <x v="0"/>
    <n v="40"/>
    <x v="1"/>
    <x v="2"/>
    <n v="2"/>
    <n v="30"/>
    <n v="60"/>
    <n v="1.2"/>
    <n v="0"/>
  </r>
  <r>
    <n v="164"/>
    <n v="15"/>
    <n v="5"/>
    <n v="2023"/>
    <d v="2023-05-15T00:00:00"/>
    <s v="CUST164"/>
    <x v="0"/>
    <n v="47"/>
    <x v="1"/>
    <x v="1"/>
    <n v="3"/>
    <n v="500"/>
    <n v="1500"/>
    <n v="30"/>
    <n v="0"/>
  </r>
  <r>
    <n v="425"/>
    <n v="15"/>
    <n v="5"/>
    <n v="2023"/>
    <d v="2023-05-15T00:00:00"/>
    <s v="CUST425"/>
    <x v="0"/>
    <n v="55"/>
    <x v="2"/>
    <x v="2"/>
    <n v="4"/>
    <n v="30"/>
    <n v="120"/>
    <n v="2.4"/>
    <n v="0"/>
  </r>
  <r>
    <n v="48"/>
    <n v="16"/>
    <n v="5"/>
    <n v="2023"/>
    <d v="2023-05-16T00:00:00"/>
    <s v="CUST048"/>
    <x v="1"/>
    <n v="54"/>
    <x v="2"/>
    <x v="2"/>
    <n v="3"/>
    <n v="300"/>
    <n v="900"/>
    <n v="18"/>
    <n v="0"/>
  </r>
  <r>
    <n v="118"/>
    <n v="16"/>
    <n v="5"/>
    <n v="2023"/>
    <d v="2023-05-16T00:00:00"/>
    <s v="CUST118"/>
    <x v="0"/>
    <n v="30"/>
    <x v="1"/>
    <x v="2"/>
    <n v="4"/>
    <n v="500"/>
    <n v="2000"/>
    <n v="40"/>
    <n v="0"/>
  </r>
  <r>
    <n v="419"/>
    <n v="22"/>
    <n v="5"/>
    <n v="2023"/>
    <d v="2023-05-22T00:00:00"/>
    <s v="CUST419"/>
    <x v="0"/>
    <n v="44"/>
    <x v="1"/>
    <x v="0"/>
    <n v="3"/>
    <n v="30"/>
    <n v="90"/>
    <n v="1.8"/>
    <n v="0"/>
  </r>
  <r>
    <n v="372"/>
    <n v="7"/>
    <n v="2"/>
    <n v="2023"/>
    <d v="2023-02-07T00:00:00"/>
    <s v="CUST372"/>
    <x v="0"/>
    <n v="24"/>
    <x v="0"/>
    <x v="1"/>
    <n v="3"/>
    <n v="500"/>
    <n v="1500"/>
    <n v="30"/>
    <n v="0"/>
  </r>
  <r>
    <n v="358"/>
    <n v="16"/>
    <n v="5"/>
    <n v="2023"/>
    <d v="2023-05-16T00:00:00"/>
    <s v="CUST358"/>
    <x v="0"/>
    <n v="32"/>
    <x v="1"/>
    <x v="1"/>
    <n v="1"/>
    <n v="300"/>
    <n v="300"/>
    <n v="6"/>
    <n v="0"/>
  </r>
  <r>
    <n v="376"/>
    <n v="16"/>
    <n v="5"/>
    <n v="2023"/>
    <d v="2023-05-16T00:00:00"/>
    <s v="CUST376"/>
    <x v="0"/>
    <n v="64"/>
    <x v="2"/>
    <x v="1"/>
    <n v="1"/>
    <n v="30"/>
    <n v="30"/>
    <n v="0.6"/>
    <n v="0"/>
  </r>
  <r>
    <n v="389"/>
    <n v="1"/>
    <n v="12"/>
    <n v="2023"/>
    <d v="2023-12-01T00:00:00"/>
    <s v="CUST389"/>
    <x v="1"/>
    <n v="21"/>
    <x v="0"/>
    <x v="0"/>
    <n v="2"/>
    <n v="25"/>
    <n v="50"/>
    <n v="1"/>
    <n v="0"/>
  </r>
  <r>
    <n v="411"/>
    <n v="16"/>
    <n v="5"/>
    <n v="2023"/>
    <d v="2023-05-16T00:00:00"/>
    <s v="CUST411"/>
    <x v="1"/>
    <n v="62"/>
    <x v="2"/>
    <x v="2"/>
    <n v="4"/>
    <n v="50"/>
    <n v="200"/>
    <n v="4"/>
    <n v="0"/>
  </r>
  <r>
    <n v="504"/>
    <n v="16"/>
    <n v="5"/>
    <n v="2023"/>
    <d v="2023-05-16T00:00:00"/>
    <s v="CUST504"/>
    <x v="0"/>
    <n v="38"/>
    <x v="1"/>
    <x v="1"/>
    <n v="3"/>
    <n v="50"/>
    <n v="150"/>
    <n v="3"/>
    <n v="0"/>
  </r>
  <r>
    <n v="970"/>
    <n v="16"/>
    <n v="5"/>
    <n v="2023"/>
    <d v="2023-05-16T00:00:00"/>
    <s v="CUST970"/>
    <x v="1"/>
    <n v="59"/>
    <x v="2"/>
    <x v="2"/>
    <n v="4"/>
    <n v="500"/>
    <n v="2000"/>
    <n v="40"/>
    <n v="0"/>
  </r>
  <r>
    <n v="421"/>
    <n v="2"/>
    <n v="1"/>
    <n v="2023"/>
    <d v="2023-01-02T00:00:00"/>
    <s v="CUST421"/>
    <x v="0"/>
    <n v="37"/>
    <x v="1"/>
    <x v="0"/>
    <n v="3"/>
    <n v="500"/>
    <n v="1500"/>
    <n v="30"/>
    <n v="0"/>
  </r>
  <r>
    <n v="81"/>
    <n v="17"/>
    <n v="5"/>
    <n v="2023"/>
    <d v="2023-05-17T00:00:00"/>
    <s v="CUST081"/>
    <x v="1"/>
    <n v="40"/>
    <x v="1"/>
    <x v="2"/>
    <n v="1"/>
    <n v="50"/>
    <n v="50"/>
    <n v="1"/>
    <n v="0"/>
  </r>
  <r>
    <n v="155"/>
    <n v="17"/>
    <n v="5"/>
    <n v="2023"/>
    <d v="2023-05-17T00:00:00"/>
    <s v="CUST155"/>
    <x v="1"/>
    <n v="31"/>
    <x v="1"/>
    <x v="2"/>
    <n v="4"/>
    <n v="500"/>
    <n v="2000"/>
    <n v="40"/>
    <n v="0"/>
  </r>
  <r>
    <n v="422"/>
    <n v="20"/>
    <n v="6"/>
    <n v="2023"/>
    <d v="2023-06-20T00:00:00"/>
    <s v="CUST422"/>
    <x v="0"/>
    <n v="28"/>
    <x v="0"/>
    <x v="0"/>
    <n v="3"/>
    <n v="30"/>
    <n v="90"/>
    <n v="1.8"/>
    <n v="0"/>
  </r>
  <r>
    <n v="423"/>
    <n v="8"/>
    <n v="3"/>
    <n v="2023"/>
    <d v="2023-03-08T00:00:00"/>
    <s v="CUST423"/>
    <x v="0"/>
    <n v="27"/>
    <x v="0"/>
    <x v="0"/>
    <n v="1"/>
    <n v="25"/>
    <n v="25"/>
    <n v="0.5"/>
    <n v="0"/>
  </r>
  <r>
    <n v="818"/>
    <n v="18"/>
    <n v="5"/>
    <n v="2023"/>
    <d v="2023-05-18T00:00:00"/>
    <s v="CUST818"/>
    <x v="1"/>
    <n v="30"/>
    <x v="1"/>
    <x v="2"/>
    <n v="1"/>
    <n v="500"/>
    <n v="500"/>
    <n v="10"/>
    <n v="0"/>
  </r>
  <r>
    <n v="94"/>
    <n v="19"/>
    <n v="5"/>
    <n v="2023"/>
    <d v="2023-05-19T00:00:00"/>
    <s v="CUST094"/>
    <x v="0"/>
    <n v="47"/>
    <x v="1"/>
    <x v="1"/>
    <n v="2"/>
    <n v="500"/>
    <n v="1000"/>
    <n v="20"/>
    <n v="0"/>
  </r>
  <r>
    <n v="811"/>
    <n v="19"/>
    <n v="5"/>
    <n v="2023"/>
    <d v="2023-05-19T00:00:00"/>
    <s v="CUST811"/>
    <x v="1"/>
    <n v="61"/>
    <x v="2"/>
    <x v="1"/>
    <n v="2"/>
    <n v="25"/>
    <n v="50"/>
    <n v="1"/>
    <n v="0"/>
  </r>
  <r>
    <n v="391"/>
    <n v="5"/>
    <n v="1"/>
    <n v="2023"/>
    <d v="2023-01-05T00:00:00"/>
    <s v="CUST391"/>
    <x v="1"/>
    <n v="19"/>
    <x v="0"/>
    <x v="1"/>
    <n v="2"/>
    <n v="25"/>
    <n v="50"/>
    <n v="1"/>
    <n v="0"/>
  </r>
  <r>
    <n v="436"/>
    <n v="18"/>
    <n v="3"/>
    <n v="2023"/>
    <d v="2023-03-18T00:00:00"/>
    <s v="CUST436"/>
    <x v="0"/>
    <n v="57"/>
    <x v="2"/>
    <x v="0"/>
    <n v="4"/>
    <n v="30"/>
    <n v="120"/>
    <n v="2.4"/>
    <n v="0"/>
  </r>
  <r>
    <n v="438"/>
    <n v="19"/>
    <n v="1"/>
    <n v="2023"/>
    <d v="2023-01-19T00:00:00"/>
    <s v="CUST438"/>
    <x v="0"/>
    <n v="42"/>
    <x v="1"/>
    <x v="0"/>
    <n v="1"/>
    <n v="30"/>
    <n v="30"/>
    <n v="0.6"/>
    <n v="0"/>
  </r>
  <r>
    <n v="694"/>
    <n v="20"/>
    <n v="5"/>
    <n v="2023"/>
    <d v="2023-05-20T00:00:00"/>
    <s v="CUST694"/>
    <x v="0"/>
    <n v="39"/>
    <x v="1"/>
    <x v="2"/>
    <n v="2"/>
    <n v="25"/>
    <n v="50"/>
    <n v="1"/>
    <n v="0"/>
  </r>
  <r>
    <n v="439"/>
    <n v="9"/>
    <n v="7"/>
    <n v="2023"/>
    <d v="2023-07-09T00:00:00"/>
    <s v="CUST439"/>
    <x v="1"/>
    <n v="50"/>
    <x v="2"/>
    <x v="0"/>
    <n v="3"/>
    <n v="25"/>
    <n v="75"/>
    <n v="1.5"/>
    <n v="0"/>
  </r>
  <r>
    <n v="440"/>
    <n v="26"/>
    <n v="10"/>
    <n v="2023"/>
    <d v="2023-10-26T00:00:00"/>
    <s v="CUST440"/>
    <x v="1"/>
    <n v="64"/>
    <x v="2"/>
    <x v="0"/>
    <n v="2"/>
    <n v="300"/>
    <n v="600"/>
    <n v="12"/>
    <n v="0"/>
  </r>
  <r>
    <n v="911"/>
    <n v="21"/>
    <n v="5"/>
    <n v="2023"/>
    <d v="2023-05-21T00:00:00"/>
    <s v="CUST911"/>
    <x v="1"/>
    <n v="42"/>
    <x v="1"/>
    <x v="2"/>
    <n v="3"/>
    <n v="300"/>
    <n v="900"/>
    <n v="18"/>
    <n v="0"/>
  </r>
  <r>
    <n v="442"/>
    <n v="17"/>
    <n v="3"/>
    <n v="2023"/>
    <d v="2023-03-17T00:00:00"/>
    <s v="CUST442"/>
    <x v="0"/>
    <n v="60"/>
    <x v="2"/>
    <x v="0"/>
    <n v="4"/>
    <n v="25"/>
    <n v="100"/>
    <n v="2"/>
    <n v="0"/>
  </r>
  <r>
    <n v="443"/>
    <n v="9"/>
    <n v="8"/>
    <n v="2023"/>
    <d v="2023-08-09T00:00:00"/>
    <s v="CUST443"/>
    <x v="1"/>
    <n v="29"/>
    <x v="0"/>
    <x v="0"/>
    <n v="2"/>
    <n v="300"/>
    <n v="600"/>
    <n v="12"/>
    <n v="0"/>
  </r>
  <r>
    <n v="393"/>
    <n v="11"/>
    <n v="10"/>
    <n v="2023"/>
    <d v="2023-10-11T00:00:00"/>
    <s v="CUST393"/>
    <x v="0"/>
    <n v="22"/>
    <x v="0"/>
    <x v="1"/>
    <n v="2"/>
    <n v="500"/>
    <n v="1000"/>
    <n v="20"/>
    <n v="0"/>
  </r>
  <r>
    <n v="444"/>
    <n v="7"/>
    <n v="3"/>
    <n v="2023"/>
    <d v="2023-03-07T00:00:00"/>
    <s v="CUST444"/>
    <x v="0"/>
    <n v="61"/>
    <x v="2"/>
    <x v="0"/>
    <n v="3"/>
    <n v="30"/>
    <n v="90"/>
    <n v="1.8"/>
    <n v="0"/>
  </r>
  <r>
    <n v="31"/>
    <n v="23"/>
    <n v="5"/>
    <n v="2023"/>
    <d v="2023-05-23T00:00:00"/>
    <s v="CUST031"/>
    <x v="1"/>
    <n v="44"/>
    <x v="1"/>
    <x v="2"/>
    <n v="4"/>
    <n v="300"/>
    <n v="1200"/>
    <n v="24"/>
    <n v="0"/>
  </r>
  <r>
    <n v="406"/>
    <n v="18"/>
    <n v="4"/>
    <n v="2023"/>
    <d v="2023-04-18T00:00:00"/>
    <s v="CUST406"/>
    <x v="0"/>
    <n v="22"/>
    <x v="0"/>
    <x v="1"/>
    <n v="4"/>
    <n v="25"/>
    <n v="100"/>
    <n v="2"/>
    <n v="0"/>
  </r>
  <r>
    <n v="409"/>
    <n v="18"/>
    <n v="12"/>
    <n v="2023"/>
    <d v="2023-12-18T00:00:00"/>
    <s v="CUST409"/>
    <x v="0"/>
    <n v="21"/>
    <x v="0"/>
    <x v="2"/>
    <n v="3"/>
    <n v="300"/>
    <n v="900"/>
    <n v="18"/>
    <n v="0"/>
  </r>
  <r>
    <n v="243"/>
    <n v="23"/>
    <n v="5"/>
    <n v="2023"/>
    <d v="2023-05-23T00:00:00"/>
    <s v="CUST243"/>
    <x v="0"/>
    <n v="47"/>
    <x v="1"/>
    <x v="2"/>
    <n v="3"/>
    <n v="300"/>
    <n v="900"/>
    <n v="18"/>
    <n v="0"/>
  </r>
  <r>
    <n v="281"/>
    <n v="23"/>
    <n v="5"/>
    <n v="2023"/>
    <d v="2023-05-23T00:00:00"/>
    <s v="CUST281"/>
    <x v="0"/>
    <n v="29"/>
    <x v="0"/>
    <x v="1"/>
    <n v="4"/>
    <n v="500"/>
    <n v="2000"/>
    <n v="40"/>
    <n v="0"/>
  </r>
  <r>
    <n v="489"/>
    <n v="23"/>
    <n v="5"/>
    <n v="2023"/>
    <d v="2023-05-23T00:00:00"/>
    <s v="CUST489"/>
    <x v="1"/>
    <n v="44"/>
    <x v="1"/>
    <x v="2"/>
    <n v="1"/>
    <n v="30"/>
    <n v="30"/>
    <n v="0.6"/>
    <n v="0"/>
  </r>
  <r>
    <n v="491"/>
    <n v="23"/>
    <n v="5"/>
    <n v="2023"/>
    <d v="2023-05-23T00:00:00"/>
    <s v="CUST491"/>
    <x v="0"/>
    <n v="60"/>
    <x v="2"/>
    <x v="2"/>
    <n v="3"/>
    <n v="300"/>
    <n v="900"/>
    <n v="18"/>
    <n v="0"/>
  </r>
  <r>
    <n v="452"/>
    <n v="8"/>
    <n v="5"/>
    <n v="2023"/>
    <d v="2023-05-08T00:00:00"/>
    <s v="CUST452"/>
    <x v="0"/>
    <n v="48"/>
    <x v="1"/>
    <x v="0"/>
    <n v="3"/>
    <n v="500"/>
    <n v="1500"/>
    <n v="30"/>
    <n v="0"/>
  </r>
  <r>
    <n v="822"/>
    <n v="23"/>
    <n v="5"/>
    <n v="2023"/>
    <d v="2023-05-23T00:00:00"/>
    <s v="CUST822"/>
    <x v="0"/>
    <n v="52"/>
    <x v="2"/>
    <x v="1"/>
    <n v="3"/>
    <n v="50"/>
    <n v="150"/>
    <n v="3"/>
    <n v="0"/>
  </r>
  <r>
    <n v="453"/>
    <n v="8"/>
    <n v="12"/>
    <n v="2023"/>
    <d v="2023-12-08T00:00:00"/>
    <s v="CUST453"/>
    <x v="0"/>
    <n v="26"/>
    <x v="0"/>
    <x v="0"/>
    <n v="2"/>
    <n v="500"/>
    <n v="1000"/>
    <n v="20"/>
    <n v="0"/>
  </r>
  <r>
    <n v="404"/>
    <n v="25"/>
    <n v="5"/>
    <n v="2023"/>
    <d v="2023-05-25T00:00:00"/>
    <s v="CUST404"/>
    <x v="1"/>
    <n v="46"/>
    <x v="1"/>
    <x v="2"/>
    <n v="2"/>
    <n v="500"/>
    <n v="1000"/>
    <n v="20"/>
    <n v="0"/>
  </r>
  <r>
    <n v="459"/>
    <n v="21"/>
    <n v="3"/>
    <n v="2023"/>
    <d v="2023-03-21T00:00:00"/>
    <s v="CUST459"/>
    <x v="1"/>
    <n v="28"/>
    <x v="0"/>
    <x v="0"/>
    <n v="4"/>
    <n v="300"/>
    <n v="1200"/>
    <n v="24"/>
    <n v="0"/>
  </r>
  <r>
    <n v="990"/>
    <n v="25"/>
    <n v="5"/>
    <n v="2023"/>
    <d v="2023-05-25T00:00:00"/>
    <s v="CUST990"/>
    <x v="0"/>
    <n v="58"/>
    <x v="2"/>
    <x v="1"/>
    <n v="2"/>
    <n v="500"/>
    <n v="1000"/>
    <n v="20"/>
    <n v="0"/>
  </r>
  <r>
    <n v="470"/>
    <n v="17"/>
    <n v="5"/>
    <n v="2023"/>
    <d v="2023-05-17T00:00:00"/>
    <s v="CUST470"/>
    <x v="0"/>
    <n v="57"/>
    <x v="2"/>
    <x v="0"/>
    <n v="2"/>
    <n v="500"/>
    <n v="1000"/>
    <n v="20"/>
    <n v="0"/>
  </r>
  <r>
    <n v="471"/>
    <n v="23"/>
    <n v="3"/>
    <n v="2023"/>
    <d v="2023-03-23T00:00:00"/>
    <s v="CUST471"/>
    <x v="1"/>
    <n v="32"/>
    <x v="1"/>
    <x v="0"/>
    <n v="3"/>
    <n v="50"/>
    <n v="150"/>
    <n v="3"/>
    <n v="0"/>
  </r>
  <r>
    <n v="923"/>
    <n v="26"/>
    <n v="5"/>
    <n v="2023"/>
    <d v="2023-05-26T00:00:00"/>
    <s v="CUST923"/>
    <x v="1"/>
    <n v="32"/>
    <x v="1"/>
    <x v="1"/>
    <n v="3"/>
    <n v="300"/>
    <n v="900"/>
    <n v="18"/>
    <n v="0"/>
  </r>
  <r>
    <n v="307"/>
    <n v="27"/>
    <n v="5"/>
    <n v="2023"/>
    <d v="2023-05-27T00:00:00"/>
    <s v="CUST307"/>
    <x v="0"/>
    <n v="26"/>
    <x v="0"/>
    <x v="2"/>
    <n v="2"/>
    <n v="25"/>
    <n v="50"/>
    <n v="1"/>
    <n v="0"/>
  </r>
  <r>
    <n v="474"/>
    <n v="15"/>
    <n v="7"/>
    <n v="2023"/>
    <d v="2023-07-15T00:00:00"/>
    <s v="CUST474"/>
    <x v="0"/>
    <n v="26"/>
    <x v="0"/>
    <x v="0"/>
    <n v="3"/>
    <n v="500"/>
    <n v="1500"/>
    <n v="30"/>
    <n v="0"/>
  </r>
  <r>
    <n v="475"/>
    <n v="20"/>
    <n v="1"/>
    <n v="2023"/>
    <d v="2023-01-20T00:00:00"/>
    <s v="CUST475"/>
    <x v="1"/>
    <n v="26"/>
    <x v="0"/>
    <x v="0"/>
    <n v="3"/>
    <n v="25"/>
    <n v="75"/>
    <n v="1.5"/>
    <n v="0"/>
  </r>
  <r>
    <n v="476"/>
    <n v="29"/>
    <n v="8"/>
    <n v="2023"/>
    <d v="2023-08-29T00:00:00"/>
    <s v="CUST476"/>
    <x v="0"/>
    <n v="27"/>
    <x v="0"/>
    <x v="0"/>
    <n v="4"/>
    <n v="500"/>
    <n v="2000"/>
    <n v="40"/>
    <n v="0"/>
  </r>
  <r>
    <n v="67"/>
    <n v="29"/>
    <n v="5"/>
    <n v="2023"/>
    <d v="2023-05-29T00:00:00"/>
    <s v="CUST067"/>
    <x v="0"/>
    <n v="48"/>
    <x v="1"/>
    <x v="1"/>
    <n v="4"/>
    <n v="300"/>
    <n v="1200"/>
    <n v="24"/>
    <n v="0"/>
  </r>
  <r>
    <n v="915"/>
    <n v="30"/>
    <n v="5"/>
    <n v="2023"/>
    <d v="2023-05-30T00:00:00"/>
    <s v="CUST915"/>
    <x v="0"/>
    <n v="26"/>
    <x v="0"/>
    <x v="1"/>
    <n v="3"/>
    <n v="30"/>
    <n v="90"/>
    <n v="1.8"/>
    <n v="0"/>
  </r>
  <r>
    <n v="412"/>
    <n v="16"/>
    <n v="9"/>
    <n v="2023"/>
    <d v="2023-09-16T00:00:00"/>
    <s v="CUST412"/>
    <x v="0"/>
    <n v="19"/>
    <x v="0"/>
    <x v="2"/>
    <n v="4"/>
    <n v="500"/>
    <n v="2000"/>
    <n v="40"/>
    <n v="0"/>
  </r>
  <r>
    <n v="477"/>
    <n v="24"/>
    <n v="4"/>
    <n v="2023"/>
    <d v="2023-04-24T00:00:00"/>
    <s v="CUST477"/>
    <x v="1"/>
    <n v="43"/>
    <x v="1"/>
    <x v="0"/>
    <n v="4"/>
    <n v="30"/>
    <n v="120"/>
    <n v="2.4"/>
    <n v="0"/>
  </r>
  <r>
    <n v="478"/>
    <n v="13"/>
    <n v="4"/>
    <n v="2023"/>
    <d v="2023-04-13T00:00:00"/>
    <s v="CUST478"/>
    <x v="0"/>
    <n v="58"/>
    <x v="2"/>
    <x v="0"/>
    <n v="2"/>
    <n v="30"/>
    <n v="60"/>
    <n v="1.2"/>
    <n v="0"/>
  </r>
  <r>
    <n v="862"/>
    <n v="31"/>
    <n v="5"/>
    <n v="2023"/>
    <d v="2023-05-31T00:00:00"/>
    <s v="CUST862"/>
    <x v="1"/>
    <n v="28"/>
    <x v="0"/>
    <x v="2"/>
    <n v="4"/>
    <n v="300"/>
    <n v="1200"/>
    <n v="24"/>
    <n v="0"/>
  </r>
  <r>
    <n v="482"/>
    <n v="27"/>
    <n v="4"/>
    <n v="2023"/>
    <d v="2023-04-27T00:00:00"/>
    <s v="CUST482"/>
    <x v="0"/>
    <n v="28"/>
    <x v="0"/>
    <x v="0"/>
    <n v="4"/>
    <n v="300"/>
    <n v="1200"/>
    <n v="24"/>
    <n v="0"/>
  </r>
  <r>
    <n v="483"/>
    <n v="25"/>
    <n v="4"/>
    <n v="2023"/>
    <d v="2023-04-25T00:00:00"/>
    <s v="CUST483"/>
    <x v="1"/>
    <n v="55"/>
    <x v="2"/>
    <x v="0"/>
    <n v="1"/>
    <n v="30"/>
    <n v="30"/>
    <n v="0.6"/>
    <n v="0"/>
  </r>
  <r>
    <n v="902"/>
    <n v="1"/>
    <n v="6"/>
    <n v="2023"/>
    <d v="2023-06-01T00:00:00"/>
    <s v="CUST902"/>
    <x v="0"/>
    <n v="54"/>
    <x v="2"/>
    <x v="1"/>
    <n v="1"/>
    <n v="50"/>
    <n v="50"/>
    <n v="1"/>
    <n v="0"/>
  </r>
  <r>
    <n v="420"/>
    <n v="23"/>
    <n v="1"/>
    <n v="2023"/>
    <d v="2023-01-23T00:00:00"/>
    <s v="CUST420"/>
    <x v="0"/>
    <n v="22"/>
    <x v="0"/>
    <x v="0"/>
    <n v="4"/>
    <n v="500"/>
    <n v="2000"/>
    <n v="40"/>
    <n v="0"/>
  </r>
  <r>
    <n v="685"/>
    <n v="2"/>
    <n v="6"/>
    <n v="2023"/>
    <d v="2023-06-02T00:00:00"/>
    <s v="CUST685"/>
    <x v="1"/>
    <n v="57"/>
    <x v="2"/>
    <x v="2"/>
    <n v="2"/>
    <n v="25"/>
    <n v="50"/>
    <n v="1"/>
    <n v="0"/>
  </r>
  <r>
    <n v="958"/>
    <n v="2"/>
    <n v="6"/>
    <n v="2023"/>
    <d v="2023-06-02T00:00:00"/>
    <s v="CUST958"/>
    <x v="1"/>
    <n v="62"/>
    <x v="2"/>
    <x v="2"/>
    <n v="2"/>
    <n v="25"/>
    <n v="50"/>
    <n v="1"/>
    <n v="0"/>
  </r>
  <r>
    <n v="363"/>
    <n v="3"/>
    <n v="6"/>
    <n v="2023"/>
    <d v="2023-06-03T00:00:00"/>
    <s v="CUST363"/>
    <x v="1"/>
    <n v="64"/>
    <x v="2"/>
    <x v="1"/>
    <n v="1"/>
    <n v="25"/>
    <n v="25"/>
    <n v="0.5"/>
    <n v="0"/>
  </r>
  <r>
    <n v="487"/>
    <n v="24"/>
    <n v="7"/>
    <n v="2023"/>
    <d v="2023-07-24T00:00:00"/>
    <s v="CUST487"/>
    <x v="1"/>
    <n v="44"/>
    <x v="1"/>
    <x v="0"/>
    <n v="4"/>
    <n v="500"/>
    <n v="2000"/>
    <n v="40"/>
    <n v="0"/>
  </r>
  <r>
    <n v="426"/>
    <n v="24"/>
    <n v="3"/>
    <n v="2023"/>
    <d v="2023-03-24T00:00:00"/>
    <s v="CUST426"/>
    <x v="1"/>
    <n v="23"/>
    <x v="0"/>
    <x v="2"/>
    <n v="3"/>
    <n v="50"/>
    <n v="150"/>
    <n v="3"/>
    <n v="0"/>
  </r>
  <r>
    <n v="387"/>
    <n v="4"/>
    <n v="6"/>
    <n v="2023"/>
    <d v="2023-06-04T00:00:00"/>
    <s v="CUST387"/>
    <x v="1"/>
    <n v="44"/>
    <x v="1"/>
    <x v="1"/>
    <n v="1"/>
    <n v="30"/>
    <n v="30"/>
    <n v="0.6"/>
    <n v="0"/>
  </r>
  <r>
    <n v="446"/>
    <n v="7"/>
    <n v="6"/>
    <n v="2023"/>
    <d v="2023-06-07T00:00:00"/>
    <s v="CUST446"/>
    <x v="1"/>
    <n v="21"/>
    <x v="0"/>
    <x v="2"/>
    <n v="1"/>
    <n v="50"/>
    <n v="50"/>
    <n v="1"/>
    <n v="0"/>
  </r>
  <r>
    <n v="490"/>
    <n v="5"/>
    <n v="2"/>
    <n v="2023"/>
    <d v="2023-02-05T00:00:00"/>
    <s v="CUST490"/>
    <x v="1"/>
    <n v="34"/>
    <x v="1"/>
    <x v="0"/>
    <n v="3"/>
    <n v="50"/>
    <n v="150"/>
    <n v="3"/>
    <n v="0"/>
  </r>
  <r>
    <n v="447"/>
    <n v="6"/>
    <n v="7"/>
    <n v="2023"/>
    <d v="2023-07-06T00:00:00"/>
    <s v="CUST447"/>
    <x v="1"/>
    <n v="22"/>
    <x v="0"/>
    <x v="1"/>
    <n v="4"/>
    <n v="500"/>
    <n v="2000"/>
    <n v="40"/>
    <n v="0"/>
  </r>
  <r>
    <n v="560"/>
    <n v="5"/>
    <n v="6"/>
    <n v="2023"/>
    <d v="2023-06-05T00:00:00"/>
    <s v="CUST560"/>
    <x v="0"/>
    <n v="25"/>
    <x v="0"/>
    <x v="2"/>
    <n v="1"/>
    <n v="50"/>
    <n v="50"/>
    <n v="1"/>
    <n v="0"/>
  </r>
  <r>
    <n v="497"/>
    <n v="2"/>
    <n v="10"/>
    <n v="2023"/>
    <d v="2023-10-02T00:00:00"/>
    <s v="CUST497"/>
    <x v="1"/>
    <n v="41"/>
    <x v="1"/>
    <x v="0"/>
    <n v="4"/>
    <n v="30"/>
    <n v="120"/>
    <n v="2.4"/>
    <n v="0"/>
  </r>
  <r>
    <n v="481"/>
    <n v="6"/>
    <n v="6"/>
    <n v="2023"/>
    <d v="2023-06-06T00:00:00"/>
    <s v="CUST481"/>
    <x v="0"/>
    <n v="43"/>
    <x v="1"/>
    <x v="2"/>
    <n v="4"/>
    <n v="300"/>
    <n v="1200"/>
    <n v="24"/>
    <n v="0"/>
  </r>
  <r>
    <n v="461"/>
    <n v="25"/>
    <n v="3"/>
    <n v="2023"/>
    <d v="2023-03-25T00:00:00"/>
    <s v="CUST461"/>
    <x v="0"/>
    <n v="18"/>
    <x v="0"/>
    <x v="1"/>
    <n v="2"/>
    <n v="500"/>
    <n v="1000"/>
    <n v="20"/>
    <n v="0"/>
  </r>
  <r>
    <n v="882"/>
    <n v="6"/>
    <n v="6"/>
    <n v="2023"/>
    <d v="2023-06-06T00:00:00"/>
    <s v="CUST882"/>
    <x v="0"/>
    <n v="64"/>
    <x v="2"/>
    <x v="2"/>
    <n v="2"/>
    <n v="25"/>
    <n v="50"/>
    <n v="1"/>
    <n v="0"/>
  </r>
  <r>
    <n v="961"/>
    <n v="6"/>
    <n v="6"/>
    <n v="2023"/>
    <d v="2023-06-06T00:00:00"/>
    <s v="CUST961"/>
    <x v="1"/>
    <n v="53"/>
    <x v="2"/>
    <x v="1"/>
    <n v="4"/>
    <n v="50"/>
    <n v="200"/>
    <n v="4"/>
    <n v="0"/>
  </r>
  <r>
    <n v="498"/>
    <n v="19"/>
    <n v="6"/>
    <n v="2023"/>
    <d v="2023-06-19T00:00:00"/>
    <s v="CUST498"/>
    <x v="0"/>
    <n v="50"/>
    <x v="2"/>
    <x v="0"/>
    <n v="4"/>
    <n v="25"/>
    <n v="100"/>
    <n v="2"/>
    <n v="0"/>
  </r>
  <r>
    <n v="469"/>
    <n v="8"/>
    <n v="5"/>
    <n v="2023"/>
    <d v="2023-05-08T00:00:00"/>
    <s v="CUST469"/>
    <x v="1"/>
    <n v="18"/>
    <x v="0"/>
    <x v="1"/>
    <n v="3"/>
    <n v="25"/>
    <n v="75"/>
    <n v="1.5"/>
    <n v="0"/>
  </r>
  <r>
    <n v="539"/>
    <n v="8"/>
    <n v="6"/>
    <n v="2023"/>
    <d v="2023-06-08T00:00:00"/>
    <s v="CUST539"/>
    <x v="1"/>
    <n v="25"/>
    <x v="0"/>
    <x v="1"/>
    <n v="1"/>
    <n v="500"/>
    <n v="500"/>
    <n v="10"/>
    <n v="0"/>
  </r>
  <r>
    <n v="587"/>
    <n v="8"/>
    <n v="6"/>
    <n v="2023"/>
    <d v="2023-06-08T00:00:00"/>
    <s v="CUST587"/>
    <x v="0"/>
    <n v="40"/>
    <x v="1"/>
    <x v="1"/>
    <n v="4"/>
    <n v="300"/>
    <n v="1200"/>
    <n v="24"/>
    <n v="0"/>
  </r>
  <r>
    <n v="515"/>
    <n v="17"/>
    <n v="7"/>
    <n v="2023"/>
    <d v="2023-07-17T00:00:00"/>
    <s v="CUST515"/>
    <x v="0"/>
    <n v="49"/>
    <x v="1"/>
    <x v="0"/>
    <n v="3"/>
    <n v="300"/>
    <n v="900"/>
    <n v="18"/>
    <n v="0"/>
  </r>
  <r>
    <n v="517"/>
    <n v="8"/>
    <n v="4"/>
    <n v="2023"/>
    <d v="2023-04-08T00:00:00"/>
    <s v="CUST517"/>
    <x v="0"/>
    <n v="47"/>
    <x v="1"/>
    <x v="0"/>
    <n v="4"/>
    <n v="25"/>
    <n v="100"/>
    <n v="2"/>
    <n v="0"/>
  </r>
  <r>
    <n v="769"/>
    <n v="9"/>
    <n v="6"/>
    <n v="2023"/>
    <d v="2023-06-09T00:00:00"/>
    <s v="CUST769"/>
    <x v="0"/>
    <n v="31"/>
    <x v="1"/>
    <x v="2"/>
    <n v="4"/>
    <n v="30"/>
    <n v="120"/>
    <n v="2.4"/>
    <n v="0"/>
  </r>
  <r>
    <n v="321"/>
    <n v="10"/>
    <n v="6"/>
    <n v="2023"/>
    <d v="2023-06-10T00:00:00"/>
    <s v="CUST321"/>
    <x v="0"/>
    <n v="26"/>
    <x v="0"/>
    <x v="2"/>
    <n v="2"/>
    <n v="25"/>
    <n v="50"/>
    <n v="1"/>
    <n v="0"/>
  </r>
  <r>
    <n v="356"/>
    <n v="10"/>
    <n v="6"/>
    <n v="2023"/>
    <d v="2023-06-10T00:00:00"/>
    <s v="CUST356"/>
    <x v="1"/>
    <n v="50"/>
    <x v="2"/>
    <x v="2"/>
    <n v="3"/>
    <n v="500"/>
    <n v="1500"/>
    <n v="30"/>
    <n v="0"/>
  </r>
  <r>
    <n v="510"/>
    <n v="10"/>
    <n v="6"/>
    <n v="2023"/>
    <d v="2023-06-10T00:00:00"/>
    <s v="CUST510"/>
    <x v="0"/>
    <n v="39"/>
    <x v="1"/>
    <x v="1"/>
    <n v="4"/>
    <n v="50"/>
    <n v="200"/>
    <n v="4"/>
    <n v="0"/>
  </r>
  <r>
    <n v="518"/>
    <n v="11"/>
    <n v="5"/>
    <n v="2023"/>
    <d v="2023-05-11T00:00:00"/>
    <s v="CUST518"/>
    <x v="0"/>
    <n v="40"/>
    <x v="1"/>
    <x v="0"/>
    <n v="1"/>
    <n v="30"/>
    <n v="30"/>
    <n v="0.6"/>
    <n v="0"/>
  </r>
  <r>
    <n v="104"/>
    <n v="11"/>
    <n v="6"/>
    <n v="2023"/>
    <d v="2023-06-11T00:00:00"/>
    <s v="CUST104"/>
    <x v="0"/>
    <n v="34"/>
    <x v="1"/>
    <x v="1"/>
    <n v="2"/>
    <n v="500"/>
    <n v="1000"/>
    <n v="20"/>
    <n v="0"/>
  </r>
  <r>
    <n v="521"/>
    <n v="12"/>
    <n v="8"/>
    <n v="2023"/>
    <d v="2023-08-12T00:00:00"/>
    <s v="CUST521"/>
    <x v="0"/>
    <n v="47"/>
    <x v="1"/>
    <x v="0"/>
    <n v="4"/>
    <n v="30"/>
    <n v="120"/>
    <n v="2.4"/>
    <n v="0"/>
  </r>
  <r>
    <n v="352"/>
    <n v="11"/>
    <n v="6"/>
    <n v="2023"/>
    <d v="2023-06-11T00:00:00"/>
    <s v="CUST352"/>
    <x v="1"/>
    <n v="57"/>
    <x v="2"/>
    <x v="2"/>
    <n v="2"/>
    <n v="500"/>
    <n v="1000"/>
    <n v="20"/>
    <n v="0"/>
  </r>
  <r>
    <n v="526"/>
    <n v="10"/>
    <n v="12"/>
    <n v="2023"/>
    <d v="2023-12-10T00:00:00"/>
    <s v="CUST526"/>
    <x v="1"/>
    <n v="33"/>
    <x v="1"/>
    <x v="0"/>
    <n v="2"/>
    <n v="50"/>
    <n v="100"/>
    <n v="2"/>
    <n v="0"/>
  </r>
  <r>
    <n v="527"/>
    <n v="11"/>
    <n v="4"/>
    <n v="2023"/>
    <d v="2023-04-11T00:00:00"/>
    <s v="CUST527"/>
    <x v="1"/>
    <n v="57"/>
    <x v="2"/>
    <x v="0"/>
    <n v="2"/>
    <n v="25"/>
    <n v="50"/>
    <n v="1"/>
    <n v="0"/>
  </r>
  <r>
    <n v="629"/>
    <n v="12"/>
    <n v="6"/>
    <n v="2023"/>
    <d v="2023-06-12T00:00:00"/>
    <s v="CUST629"/>
    <x v="1"/>
    <n v="62"/>
    <x v="2"/>
    <x v="2"/>
    <n v="2"/>
    <n v="25"/>
    <n v="50"/>
    <n v="1"/>
    <n v="0"/>
  </r>
  <r>
    <n v="528"/>
    <n v="6"/>
    <n v="7"/>
    <n v="2023"/>
    <d v="2023-07-06T00:00:00"/>
    <s v="CUST528"/>
    <x v="0"/>
    <n v="36"/>
    <x v="1"/>
    <x v="0"/>
    <n v="2"/>
    <n v="30"/>
    <n v="60"/>
    <n v="1.2"/>
    <n v="0"/>
  </r>
  <r>
    <n v="529"/>
    <n v="9"/>
    <n v="8"/>
    <n v="2023"/>
    <d v="2023-08-09T00:00:00"/>
    <s v="CUST529"/>
    <x v="0"/>
    <n v="35"/>
    <x v="1"/>
    <x v="0"/>
    <n v="3"/>
    <n v="50"/>
    <n v="150"/>
    <n v="3"/>
    <n v="0"/>
  </r>
  <r>
    <n v="182"/>
    <n v="15"/>
    <n v="6"/>
    <n v="2023"/>
    <d v="2023-06-15T00:00:00"/>
    <s v="CUST182"/>
    <x v="1"/>
    <n v="62"/>
    <x v="2"/>
    <x v="1"/>
    <n v="4"/>
    <n v="30"/>
    <n v="120"/>
    <n v="2.4"/>
    <n v="0"/>
  </r>
  <r>
    <n v="819"/>
    <n v="15"/>
    <n v="6"/>
    <n v="2023"/>
    <d v="2023-06-15T00:00:00"/>
    <s v="CUST819"/>
    <x v="0"/>
    <n v="35"/>
    <x v="1"/>
    <x v="1"/>
    <n v="2"/>
    <n v="50"/>
    <n v="100"/>
    <n v="2"/>
    <n v="0"/>
  </r>
  <r>
    <n v="100"/>
    <n v="16"/>
    <n v="6"/>
    <n v="2023"/>
    <d v="2023-06-16T00:00:00"/>
    <s v="CUST100"/>
    <x v="1"/>
    <n v="41"/>
    <x v="1"/>
    <x v="2"/>
    <n v="1"/>
    <n v="30"/>
    <n v="30"/>
    <n v="0.6"/>
    <n v="0"/>
  </r>
  <r>
    <n v="833"/>
    <n v="16"/>
    <n v="6"/>
    <n v="2023"/>
    <d v="2023-06-16T00:00:00"/>
    <s v="CUST833"/>
    <x v="1"/>
    <n v="42"/>
    <x v="1"/>
    <x v="1"/>
    <n v="4"/>
    <n v="50"/>
    <n v="200"/>
    <n v="4"/>
    <n v="0"/>
  </r>
  <r>
    <n v="484"/>
    <n v="13"/>
    <n v="1"/>
    <n v="2023"/>
    <d v="2023-01-13T00:00:00"/>
    <s v="CUST484"/>
    <x v="0"/>
    <n v="19"/>
    <x v="0"/>
    <x v="0"/>
    <n v="4"/>
    <n v="300"/>
    <n v="1200"/>
    <n v="24"/>
    <n v="0"/>
  </r>
  <r>
    <n v="723"/>
    <n v="17"/>
    <n v="6"/>
    <n v="2023"/>
    <d v="2023-06-17T00:00:00"/>
    <s v="CUST723"/>
    <x v="0"/>
    <n v="54"/>
    <x v="2"/>
    <x v="1"/>
    <n v="4"/>
    <n v="50"/>
    <n v="200"/>
    <n v="4"/>
    <n v="0"/>
  </r>
  <r>
    <n v="532"/>
    <n v="19"/>
    <n v="6"/>
    <n v="2023"/>
    <d v="2023-06-19T00:00:00"/>
    <s v="CUST532"/>
    <x v="0"/>
    <n v="64"/>
    <x v="2"/>
    <x v="0"/>
    <n v="4"/>
    <n v="30"/>
    <n v="120"/>
    <n v="2.4"/>
    <n v="0"/>
  </r>
  <r>
    <n v="488"/>
    <n v="18"/>
    <n v="6"/>
    <n v="2023"/>
    <d v="2023-06-18T00:00:00"/>
    <s v="CUST488"/>
    <x v="0"/>
    <n v="51"/>
    <x v="2"/>
    <x v="2"/>
    <n v="3"/>
    <n v="300"/>
    <n v="900"/>
    <n v="18"/>
    <n v="0"/>
  </r>
  <r>
    <n v="239"/>
    <n v="19"/>
    <n v="6"/>
    <n v="2023"/>
    <d v="2023-06-19T00:00:00"/>
    <s v="CUST239"/>
    <x v="1"/>
    <n v="38"/>
    <x v="1"/>
    <x v="2"/>
    <n v="3"/>
    <n v="500"/>
    <n v="1500"/>
    <n v="30"/>
    <n v="0"/>
  </r>
  <r>
    <n v="534"/>
    <n v="10"/>
    <n v="6"/>
    <n v="2023"/>
    <d v="2023-06-10T00:00:00"/>
    <s v="CUST534"/>
    <x v="1"/>
    <n v="45"/>
    <x v="1"/>
    <x v="0"/>
    <n v="2"/>
    <n v="500"/>
    <n v="1000"/>
    <n v="20"/>
    <n v="0"/>
  </r>
  <r>
    <n v="485"/>
    <n v="4"/>
    <n v="12"/>
    <n v="2023"/>
    <d v="2023-12-04T00:00:00"/>
    <s v="CUST485"/>
    <x v="1"/>
    <n v="24"/>
    <x v="0"/>
    <x v="2"/>
    <n v="1"/>
    <n v="30"/>
    <n v="30"/>
    <n v="0.6"/>
    <n v="0"/>
  </r>
  <r>
    <n v="495"/>
    <n v="24"/>
    <n v="7"/>
    <n v="2023"/>
    <d v="2023-07-24T00:00:00"/>
    <s v="CUST495"/>
    <x v="1"/>
    <n v="24"/>
    <x v="0"/>
    <x v="1"/>
    <n v="2"/>
    <n v="30"/>
    <n v="60"/>
    <n v="1.2"/>
    <n v="0"/>
  </r>
  <r>
    <n v="545"/>
    <n v="1"/>
    <n v="6"/>
    <n v="2023"/>
    <d v="2023-06-01T00:00:00"/>
    <s v="CUST545"/>
    <x v="1"/>
    <n v="27"/>
    <x v="0"/>
    <x v="0"/>
    <n v="2"/>
    <n v="25"/>
    <n v="50"/>
    <n v="1"/>
    <n v="0"/>
  </r>
  <r>
    <n v="547"/>
    <n v="7"/>
    <n v="3"/>
    <n v="2023"/>
    <d v="2023-03-07T00:00:00"/>
    <s v="CUST547"/>
    <x v="1"/>
    <n v="63"/>
    <x v="2"/>
    <x v="0"/>
    <n v="4"/>
    <n v="500"/>
    <n v="2000"/>
    <n v="40"/>
    <n v="0"/>
  </r>
  <r>
    <n v="466"/>
    <n v="20"/>
    <n v="6"/>
    <n v="2023"/>
    <d v="2023-06-20T00:00:00"/>
    <s v="CUST466"/>
    <x v="1"/>
    <n v="63"/>
    <x v="2"/>
    <x v="2"/>
    <n v="4"/>
    <n v="25"/>
    <n v="100"/>
    <n v="2"/>
    <n v="0"/>
  </r>
  <r>
    <n v="496"/>
    <n v="14"/>
    <n v="12"/>
    <n v="2023"/>
    <d v="2023-12-14T00:00:00"/>
    <s v="CUST496"/>
    <x v="1"/>
    <n v="23"/>
    <x v="0"/>
    <x v="0"/>
    <n v="2"/>
    <n v="300"/>
    <n v="600"/>
    <n v="12"/>
    <n v="0"/>
  </r>
  <r>
    <n v="548"/>
    <n v="9"/>
    <n v="4"/>
    <n v="2023"/>
    <d v="2023-04-09T00:00:00"/>
    <s v="CUST548"/>
    <x v="0"/>
    <n v="51"/>
    <x v="2"/>
    <x v="0"/>
    <n v="2"/>
    <n v="30"/>
    <n v="60"/>
    <n v="1.2"/>
    <n v="0"/>
  </r>
  <r>
    <n v="40"/>
    <n v="22"/>
    <n v="6"/>
    <n v="2023"/>
    <d v="2023-06-22T00:00:00"/>
    <s v="CUST040"/>
    <x v="1"/>
    <n v="45"/>
    <x v="1"/>
    <x v="1"/>
    <n v="1"/>
    <n v="50"/>
    <n v="50"/>
    <n v="1"/>
    <n v="0"/>
  </r>
  <r>
    <n v="550"/>
    <n v="7"/>
    <n v="12"/>
    <n v="2023"/>
    <d v="2023-12-07T00:00:00"/>
    <s v="CUST550"/>
    <x v="1"/>
    <n v="40"/>
    <x v="1"/>
    <x v="0"/>
    <n v="3"/>
    <n v="300"/>
    <n v="900"/>
    <n v="18"/>
    <n v="0"/>
  </r>
  <r>
    <n v="727"/>
    <n v="22"/>
    <n v="6"/>
    <n v="2023"/>
    <d v="2023-06-22T00:00:00"/>
    <s v="CUST727"/>
    <x v="1"/>
    <n v="55"/>
    <x v="2"/>
    <x v="1"/>
    <n v="3"/>
    <n v="300"/>
    <n v="900"/>
    <n v="18"/>
    <n v="0"/>
  </r>
  <r>
    <n v="505"/>
    <n v="20"/>
    <n v="1"/>
    <n v="2023"/>
    <d v="2023-01-20T00:00:00"/>
    <s v="CUST505"/>
    <x v="1"/>
    <n v="24"/>
    <x v="0"/>
    <x v="1"/>
    <n v="1"/>
    <n v="50"/>
    <n v="50"/>
    <n v="1"/>
    <n v="0"/>
  </r>
  <r>
    <n v="558"/>
    <n v="8"/>
    <n v="10"/>
    <n v="2023"/>
    <d v="2023-10-08T00:00:00"/>
    <s v="CUST558"/>
    <x v="0"/>
    <n v="41"/>
    <x v="1"/>
    <x v="0"/>
    <n v="1"/>
    <n v="25"/>
    <n v="25"/>
    <n v="0.5"/>
    <n v="0"/>
  </r>
  <r>
    <n v="271"/>
    <n v="23"/>
    <n v="6"/>
    <n v="2023"/>
    <d v="2023-06-23T00:00:00"/>
    <s v="CUST271"/>
    <x v="0"/>
    <n v="62"/>
    <x v="2"/>
    <x v="1"/>
    <n v="4"/>
    <n v="30"/>
    <n v="120"/>
    <n v="2.4"/>
    <n v="0"/>
  </r>
  <r>
    <n v="36"/>
    <n v="24"/>
    <n v="6"/>
    <n v="2023"/>
    <d v="2023-06-24T00:00:00"/>
    <s v="CUST036"/>
    <x v="1"/>
    <n v="52"/>
    <x v="2"/>
    <x v="1"/>
    <n v="3"/>
    <n v="300"/>
    <n v="900"/>
    <n v="18"/>
    <n v="0"/>
  </r>
  <r>
    <n v="157"/>
    <n v="24"/>
    <n v="6"/>
    <n v="2023"/>
    <d v="2023-06-24T00:00:00"/>
    <s v="CUST157"/>
    <x v="1"/>
    <n v="62"/>
    <x v="2"/>
    <x v="2"/>
    <n v="4"/>
    <n v="500"/>
    <n v="2000"/>
    <n v="40"/>
    <n v="0"/>
  </r>
  <r>
    <n v="796"/>
    <n v="24"/>
    <n v="6"/>
    <n v="2023"/>
    <d v="2023-06-24T00:00:00"/>
    <s v="CUST796"/>
    <x v="1"/>
    <n v="43"/>
    <x v="1"/>
    <x v="1"/>
    <n v="4"/>
    <n v="30"/>
    <n v="120"/>
    <n v="2.4"/>
    <n v="0"/>
  </r>
  <r>
    <n v="513"/>
    <n v="19"/>
    <n v="9"/>
    <n v="2023"/>
    <d v="2023-09-19T00:00:00"/>
    <s v="CUST513"/>
    <x v="1"/>
    <n v="24"/>
    <x v="0"/>
    <x v="2"/>
    <n v="4"/>
    <n v="25"/>
    <n v="100"/>
    <n v="2"/>
    <n v="0"/>
  </r>
  <r>
    <n v="927"/>
    <n v="24"/>
    <n v="6"/>
    <n v="2023"/>
    <d v="2023-06-24T00:00:00"/>
    <s v="CUST927"/>
    <x v="1"/>
    <n v="43"/>
    <x v="1"/>
    <x v="2"/>
    <n v="4"/>
    <n v="500"/>
    <n v="2000"/>
    <n v="40"/>
    <n v="0"/>
  </r>
  <r>
    <n v="407"/>
    <n v="25"/>
    <n v="6"/>
    <n v="2023"/>
    <d v="2023-06-25T00:00:00"/>
    <s v="CUST407"/>
    <x v="0"/>
    <n v="46"/>
    <x v="1"/>
    <x v="2"/>
    <n v="3"/>
    <n v="300"/>
    <n v="900"/>
    <n v="18"/>
    <n v="0"/>
  </r>
  <r>
    <n v="514"/>
    <n v="1"/>
    <n v="3"/>
    <n v="2023"/>
    <d v="2023-03-01T00:00:00"/>
    <s v="CUST514"/>
    <x v="0"/>
    <n v="18"/>
    <x v="0"/>
    <x v="2"/>
    <n v="1"/>
    <n v="300"/>
    <n v="300"/>
    <n v="6"/>
    <n v="0"/>
  </r>
  <r>
    <n v="509"/>
    <n v="26"/>
    <n v="6"/>
    <n v="2023"/>
    <d v="2023-06-26T00:00:00"/>
    <s v="CUST509"/>
    <x v="0"/>
    <n v="37"/>
    <x v="1"/>
    <x v="2"/>
    <n v="3"/>
    <n v="300"/>
    <n v="900"/>
    <n v="18"/>
    <n v="0"/>
  </r>
  <r>
    <n v="874"/>
    <n v="26"/>
    <n v="6"/>
    <n v="2023"/>
    <d v="2023-06-26T00:00:00"/>
    <s v="CUST874"/>
    <x v="1"/>
    <n v="60"/>
    <x v="2"/>
    <x v="1"/>
    <n v="1"/>
    <n v="30"/>
    <n v="30"/>
    <n v="0.6"/>
    <n v="0"/>
  </r>
  <r>
    <n v="788"/>
    <n v="27"/>
    <n v="6"/>
    <n v="2023"/>
    <d v="2023-06-27T00:00:00"/>
    <s v="CUST788"/>
    <x v="0"/>
    <n v="52"/>
    <x v="2"/>
    <x v="1"/>
    <n v="3"/>
    <n v="300"/>
    <n v="900"/>
    <n v="18"/>
    <n v="0"/>
  </r>
  <r>
    <n v="378"/>
    <n v="28"/>
    <n v="6"/>
    <n v="2023"/>
    <d v="2023-06-28T00:00:00"/>
    <s v="CUST378"/>
    <x v="1"/>
    <n v="50"/>
    <x v="2"/>
    <x v="1"/>
    <n v="1"/>
    <n v="300"/>
    <n v="300"/>
    <n v="6"/>
    <n v="0"/>
  </r>
  <r>
    <n v="480"/>
    <n v="29"/>
    <n v="6"/>
    <n v="2023"/>
    <d v="2023-06-29T00:00:00"/>
    <s v="CUST480"/>
    <x v="0"/>
    <n v="42"/>
    <x v="1"/>
    <x v="1"/>
    <n v="4"/>
    <n v="500"/>
    <n v="2000"/>
    <n v="40"/>
    <n v="0"/>
  </r>
  <r>
    <n v="492"/>
    <n v="29"/>
    <n v="6"/>
    <n v="2023"/>
    <d v="2023-06-29T00:00:00"/>
    <s v="CUST492"/>
    <x v="1"/>
    <n v="61"/>
    <x v="2"/>
    <x v="1"/>
    <n v="4"/>
    <n v="25"/>
    <n v="100"/>
    <n v="2"/>
    <n v="0"/>
  </r>
  <r>
    <n v="559"/>
    <n v="1"/>
    <n v="1"/>
    <n v="2023"/>
    <d v="2023-01-01T00:00:00"/>
    <s v="CUST559"/>
    <x v="0"/>
    <n v="40"/>
    <x v="1"/>
    <x v="0"/>
    <n v="4"/>
    <n v="300"/>
    <n v="1200"/>
    <n v="24"/>
    <n v="0"/>
  </r>
  <r>
    <n v="561"/>
    <n v="27"/>
    <n v="5"/>
    <n v="2023"/>
    <d v="2023-05-27T00:00:00"/>
    <s v="CUST561"/>
    <x v="0"/>
    <n v="64"/>
    <x v="2"/>
    <x v="0"/>
    <n v="4"/>
    <n v="500"/>
    <n v="2000"/>
    <n v="40"/>
    <n v="0"/>
  </r>
  <r>
    <n v="530"/>
    <n v="5"/>
    <n v="2"/>
    <n v="2023"/>
    <d v="2023-02-05T00:00:00"/>
    <s v="CUST530"/>
    <x v="0"/>
    <n v="18"/>
    <x v="0"/>
    <x v="2"/>
    <n v="4"/>
    <n v="30"/>
    <n v="120"/>
    <n v="2.4"/>
    <n v="0"/>
  </r>
  <r>
    <n v="566"/>
    <n v="2"/>
    <n v="12"/>
    <n v="2023"/>
    <d v="2023-12-02T00:00:00"/>
    <s v="CUST566"/>
    <x v="0"/>
    <n v="64"/>
    <x v="2"/>
    <x v="0"/>
    <n v="1"/>
    <n v="30"/>
    <n v="30"/>
    <n v="0.6"/>
    <n v="0"/>
  </r>
  <r>
    <n v="260"/>
    <n v="1"/>
    <n v="7"/>
    <n v="2023"/>
    <d v="2023-07-01T00:00:00"/>
    <s v="CUST260"/>
    <x v="1"/>
    <n v="28"/>
    <x v="0"/>
    <x v="1"/>
    <n v="2"/>
    <n v="30"/>
    <n v="60"/>
    <n v="1.2"/>
    <n v="0"/>
  </r>
  <r>
    <n v="455"/>
    <n v="1"/>
    <n v="7"/>
    <n v="2023"/>
    <d v="2023-07-01T00:00:00"/>
    <s v="CUST455"/>
    <x v="1"/>
    <n v="31"/>
    <x v="1"/>
    <x v="2"/>
    <n v="4"/>
    <n v="25"/>
    <n v="100"/>
    <n v="2"/>
    <n v="0"/>
  </r>
  <r>
    <n v="533"/>
    <n v="16"/>
    <n v="11"/>
    <n v="2023"/>
    <d v="2023-11-16T00:00:00"/>
    <s v="CUST533"/>
    <x v="1"/>
    <n v="19"/>
    <x v="0"/>
    <x v="2"/>
    <n v="3"/>
    <n v="500"/>
    <n v="1500"/>
    <n v="30"/>
    <n v="0"/>
  </r>
  <r>
    <n v="45"/>
    <n v="3"/>
    <n v="7"/>
    <n v="2023"/>
    <d v="2023-07-03T00:00:00"/>
    <s v="CUST045"/>
    <x v="0"/>
    <n v="55"/>
    <x v="2"/>
    <x v="2"/>
    <n v="1"/>
    <n v="30"/>
    <n v="30"/>
    <n v="0.6"/>
    <n v="0"/>
  </r>
  <r>
    <n v="449"/>
    <n v="3"/>
    <n v="7"/>
    <n v="2023"/>
    <d v="2023-07-03T00:00:00"/>
    <s v="CUST449"/>
    <x v="1"/>
    <n v="25"/>
    <x v="0"/>
    <x v="2"/>
    <n v="4"/>
    <n v="50"/>
    <n v="200"/>
    <n v="4"/>
    <n v="0"/>
  </r>
  <r>
    <n v="567"/>
    <n v="14"/>
    <n v="6"/>
    <n v="2023"/>
    <d v="2023-06-14T00:00:00"/>
    <s v="CUST567"/>
    <x v="0"/>
    <n v="25"/>
    <x v="0"/>
    <x v="0"/>
    <n v="3"/>
    <n v="300"/>
    <n v="900"/>
    <n v="18"/>
    <n v="0"/>
  </r>
  <r>
    <n v="570"/>
    <n v="15"/>
    <n v="8"/>
    <n v="2023"/>
    <d v="2023-08-15T00:00:00"/>
    <s v="CUST570"/>
    <x v="1"/>
    <n v="49"/>
    <x v="1"/>
    <x v="0"/>
    <n v="1"/>
    <n v="500"/>
    <n v="500"/>
    <n v="10"/>
    <n v="0"/>
  </r>
  <r>
    <n v="128"/>
    <n v="5"/>
    <n v="7"/>
    <n v="2023"/>
    <d v="2023-07-05T00:00:00"/>
    <s v="CUST128"/>
    <x v="1"/>
    <n v="25"/>
    <x v="0"/>
    <x v="1"/>
    <n v="1"/>
    <n v="500"/>
    <n v="500"/>
    <n v="10"/>
    <n v="0"/>
  </r>
  <r>
    <n v="572"/>
    <n v="20"/>
    <n v="4"/>
    <n v="2023"/>
    <d v="2023-04-20T00:00:00"/>
    <s v="CUST572"/>
    <x v="1"/>
    <n v="31"/>
    <x v="1"/>
    <x v="0"/>
    <n v="4"/>
    <n v="500"/>
    <n v="2000"/>
    <n v="40"/>
    <n v="0"/>
  </r>
  <r>
    <n v="802"/>
    <n v="5"/>
    <n v="7"/>
    <n v="2023"/>
    <d v="2023-07-05T00:00:00"/>
    <s v="CUST802"/>
    <x v="0"/>
    <n v="46"/>
    <x v="1"/>
    <x v="1"/>
    <n v="1"/>
    <n v="30"/>
    <n v="30"/>
    <n v="0.6"/>
    <n v="0"/>
  </r>
  <r>
    <n v="75"/>
    <n v="6"/>
    <n v="7"/>
    <n v="2023"/>
    <d v="2023-07-06T00:00:00"/>
    <s v="CUST075"/>
    <x v="1"/>
    <n v="61"/>
    <x v="2"/>
    <x v="1"/>
    <n v="4"/>
    <n v="50"/>
    <n v="200"/>
    <n v="4"/>
    <n v="0"/>
  </r>
  <r>
    <n v="537"/>
    <n v="3"/>
    <n v="6"/>
    <n v="2023"/>
    <d v="2023-06-03T00:00:00"/>
    <s v="CUST537"/>
    <x v="0"/>
    <n v="21"/>
    <x v="0"/>
    <x v="1"/>
    <n v="1"/>
    <n v="500"/>
    <n v="500"/>
    <n v="10"/>
    <n v="0"/>
  </r>
  <r>
    <n v="575"/>
    <n v="28"/>
    <n v="3"/>
    <n v="2023"/>
    <d v="2023-03-28T00:00:00"/>
    <s v="CUST575"/>
    <x v="1"/>
    <n v="60"/>
    <x v="2"/>
    <x v="0"/>
    <n v="2"/>
    <n v="50"/>
    <n v="100"/>
    <n v="2"/>
    <n v="0"/>
  </r>
  <r>
    <n v="759"/>
    <n v="8"/>
    <n v="7"/>
    <n v="2023"/>
    <d v="2023-07-08T00:00:00"/>
    <s v="CUST759"/>
    <x v="1"/>
    <n v="49"/>
    <x v="1"/>
    <x v="2"/>
    <n v="2"/>
    <n v="50"/>
    <n v="100"/>
    <n v="2"/>
    <n v="0"/>
  </r>
  <r>
    <n v="870"/>
    <n v="8"/>
    <n v="7"/>
    <n v="2023"/>
    <d v="2023-07-08T00:00:00"/>
    <s v="CUST870"/>
    <x v="0"/>
    <n v="46"/>
    <x v="1"/>
    <x v="2"/>
    <n v="4"/>
    <n v="30"/>
    <n v="120"/>
    <n v="2.4"/>
    <n v="0"/>
  </r>
  <r>
    <n v="578"/>
    <n v="26"/>
    <n v="5"/>
    <n v="2023"/>
    <d v="2023-05-26T00:00:00"/>
    <s v="CUST578"/>
    <x v="0"/>
    <n v="54"/>
    <x v="2"/>
    <x v="0"/>
    <n v="4"/>
    <n v="30"/>
    <n v="120"/>
    <n v="2.4"/>
    <n v="0"/>
  </r>
  <r>
    <n v="580"/>
    <n v="6"/>
    <n v="12"/>
    <n v="2023"/>
    <d v="2023-12-06T00:00:00"/>
    <s v="CUST580"/>
    <x v="0"/>
    <n v="31"/>
    <x v="1"/>
    <x v="0"/>
    <n v="3"/>
    <n v="500"/>
    <n v="1500"/>
    <n v="30"/>
    <n v="0"/>
  </r>
  <r>
    <n v="582"/>
    <n v="14"/>
    <n v="11"/>
    <n v="2023"/>
    <d v="2023-11-14T00:00:00"/>
    <s v="CUST582"/>
    <x v="1"/>
    <n v="35"/>
    <x v="1"/>
    <x v="0"/>
    <n v="3"/>
    <n v="300"/>
    <n v="900"/>
    <n v="18"/>
    <n v="0"/>
  </r>
  <r>
    <n v="538"/>
    <n v="17"/>
    <n v="9"/>
    <n v="2023"/>
    <d v="2023-09-17T00:00:00"/>
    <s v="CUST538"/>
    <x v="1"/>
    <n v="18"/>
    <x v="0"/>
    <x v="0"/>
    <n v="3"/>
    <n v="50"/>
    <n v="150"/>
    <n v="3"/>
    <n v="0"/>
  </r>
  <r>
    <n v="176"/>
    <n v="11"/>
    <n v="7"/>
    <n v="2023"/>
    <d v="2023-07-11T00:00:00"/>
    <s v="CUST176"/>
    <x v="0"/>
    <n v="43"/>
    <x v="1"/>
    <x v="1"/>
    <n v="2"/>
    <n v="50"/>
    <n v="100"/>
    <n v="2"/>
    <n v="0"/>
  </r>
  <r>
    <n v="216"/>
    <n v="11"/>
    <n v="7"/>
    <n v="2023"/>
    <d v="2023-07-11T00:00:00"/>
    <s v="CUST216"/>
    <x v="1"/>
    <n v="62"/>
    <x v="2"/>
    <x v="2"/>
    <n v="2"/>
    <n v="50"/>
    <n v="100"/>
    <n v="2"/>
    <n v="0"/>
  </r>
  <r>
    <n v="772"/>
    <n v="12"/>
    <n v="7"/>
    <n v="2023"/>
    <d v="2023-07-12T00:00:00"/>
    <s v="CUST772"/>
    <x v="1"/>
    <n v="26"/>
    <x v="0"/>
    <x v="2"/>
    <n v="1"/>
    <n v="30"/>
    <n v="30"/>
    <n v="0.6"/>
    <n v="0"/>
  </r>
  <r>
    <n v="53"/>
    <n v="13"/>
    <n v="7"/>
    <n v="2023"/>
    <d v="2023-07-13T00:00:00"/>
    <s v="CUST053"/>
    <x v="1"/>
    <n v="34"/>
    <x v="1"/>
    <x v="2"/>
    <n v="2"/>
    <n v="50"/>
    <n v="100"/>
    <n v="2"/>
    <n v="0"/>
  </r>
  <r>
    <n v="542"/>
    <n v="17"/>
    <n v="6"/>
    <n v="2023"/>
    <d v="2023-06-17T00:00:00"/>
    <s v="CUST542"/>
    <x v="0"/>
    <n v="20"/>
    <x v="0"/>
    <x v="1"/>
    <n v="1"/>
    <n v="50"/>
    <n v="50"/>
    <n v="1"/>
    <n v="0"/>
  </r>
  <r>
    <n v="71"/>
    <n v="14"/>
    <n v="7"/>
    <n v="2023"/>
    <d v="2023-07-14T00:00:00"/>
    <s v="CUST071"/>
    <x v="0"/>
    <n v="51"/>
    <x v="2"/>
    <x v="1"/>
    <n v="4"/>
    <n v="25"/>
    <n v="100"/>
    <n v="2"/>
    <n v="0"/>
  </r>
  <r>
    <n v="93"/>
    <n v="14"/>
    <n v="7"/>
    <n v="2023"/>
    <d v="2023-07-14T00:00:00"/>
    <s v="CUST093"/>
    <x v="0"/>
    <n v="35"/>
    <x v="1"/>
    <x v="1"/>
    <n v="4"/>
    <n v="500"/>
    <n v="2000"/>
    <n v="40"/>
    <n v="0"/>
  </r>
  <r>
    <n v="302"/>
    <n v="14"/>
    <n v="7"/>
    <n v="2023"/>
    <d v="2023-07-14T00:00:00"/>
    <s v="CUST302"/>
    <x v="1"/>
    <n v="57"/>
    <x v="2"/>
    <x v="1"/>
    <n v="2"/>
    <n v="300"/>
    <n v="600"/>
    <n v="12"/>
    <n v="0"/>
  </r>
  <r>
    <n v="551"/>
    <n v="14"/>
    <n v="7"/>
    <n v="2023"/>
    <d v="2023-07-14T00:00:00"/>
    <s v="CUST551"/>
    <x v="1"/>
    <n v="45"/>
    <x v="1"/>
    <x v="2"/>
    <n v="3"/>
    <n v="300"/>
    <n v="900"/>
    <n v="18"/>
    <n v="0"/>
  </r>
  <r>
    <n v="681"/>
    <n v="14"/>
    <n v="7"/>
    <n v="2023"/>
    <d v="2023-07-14T00:00:00"/>
    <s v="CUST681"/>
    <x v="0"/>
    <n v="43"/>
    <x v="1"/>
    <x v="2"/>
    <n v="2"/>
    <n v="30"/>
    <n v="60"/>
    <n v="1.2"/>
    <n v="0"/>
  </r>
  <r>
    <n v="553"/>
    <n v="31"/>
    <n v="3"/>
    <n v="2023"/>
    <d v="2023-03-31T00:00:00"/>
    <s v="CUST553"/>
    <x v="1"/>
    <n v="24"/>
    <x v="0"/>
    <x v="0"/>
    <n v="4"/>
    <n v="300"/>
    <n v="1200"/>
    <n v="24"/>
    <n v="0"/>
  </r>
  <r>
    <n v="728"/>
    <n v="14"/>
    <n v="7"/>
    <n v="2023"/>
    <d v="2023-07-14T00:00:00"/>
    <s v="CUST728"/>
    <x v="1"/>
    <n v="51"/>
    <x v="2"/>
    <x v="2"/>
    <n v="3"/>
    <n v="50"/>
    <n v="150"/>
    <n v="3"/>
    <n v="0"/>
  </r>
  <r>
    <n v="829"/>
    <n v="14"/>
    <n v="7"/>
    <n v="2023"/>
    <d v="2023-07-14T00:00:00"/>
    <s v="CUST829"/>
    <x v="1"/>
    <n v="61"/>
    <x v="2"/>
    <x v="1"/>
    <n v="3"/>
    <n v="30"/>
    <n v="90"/>
    <n v="1.8"/>
    <n v="0"/>
  </r>
  <r>
    <n v="590"/>
    <n v="17"/>
    <n v="3"/>
    <n v="2023"/>
    <d v="2023-03-17T00:00:00"/>
    <s v="CUST590"/>
    <x v="1"/>
    <n v="36"/>
    <x v="1"/>
    <x v="0"/>
    <n v="3"/>
    <n v="300"/>
    <n v="900"/>
    <n v="18"/>
    <n v="0"/>
  </r>
  <r>
    <n v="144"/>
    <n v="15"/>
    <n v="7"/>
    <n v="2023"/>
    <d v="2023-07-15T00:00:00"/>
    <s v="CUST144"/>
    <x v="0"/>
    <n v="59"/>
    <x v="2"/>
    <x v="1"/>
    <n v="3"/>
    <n v="500"/>
    <n v="1500"/>
    <n v="30"/>
    <n v="0"/>
  </r>
  <r>
    <n v="556"/>
    <n v="4"/>
    <n v="6"/>
    <n v="2023"/>
    <d v="2023-06-04T00:00:00"/>
    <s v="CUST556"/>
    <x v="0"/>
    <n v="18"/>
    <x v="0"/>
    <x v="2"/>
    <n v="1"/>
    <n v="50"/>
    <n v="50"/>
    <n v="1"/>
    <n v="0"/>
  </r>
  <r>
    <n v="557"/>
    <n v="27"/>
    <n v="7"/>
    <n v="2023"/>
    <d v="2023-07-27T00:00:00"/>
    <s v="CUST557"/>
    <x v="0"/>
    <n v="20"/>
    <x v="0"/>
    <x v="1"/>
    <n v="3"/>
    <n v="30"/>
    <n v="90"/>
    <n v="1.8"/>
    <n v="0"/>
  </r>
  <r>
    <n v="603"/>
    <n v="16"/>
    <n v="7"/>
    <n v="2023"/>
    <d v="2023-07-16T00:00:00"/>
    <s v="CUST603"/>
    <x v="0"/>
    <n v="40"/>
    <x v="1"/>
    <x v="0"/>
    <n v="3"/>
    <n v="30"/>
    <n v="90"/>
    <n v="1.8"/>
    <n v="0"/>
  </r>
  <r>
    <n v="607"/>
    <n v="17"/>
    <n v="3"/>
    <n v="2023"/>
    <d v="2023-03-17T00:00:00"/>
    <s v="CUST607"/>
    <x v="1"/>
    <n v="54"/>
    <x v="2"/>
    <x v="0"/>
    <n v="3"/>
    <n v="25"/>
    <n v="75"/>
    <n v="1.5"/>
    <n v="0"/>
  </r>
  <r>
    <n v="609"/>
    <n v="19"/>
    <n v="12"/>
    <n v="2023"/>
    <d v="2023-12-19T00:00:00"/>
    <s v="CUST609"/>
    <x v="0"/>
    <n v="47"/>
    <x v="1"/>
    <x v="0"/>
    <n v="2"/>
    <n v="50"/>
    <n v="100"/>
    <n v="2"/>
    <n v="0"/>
  </r>
  <r>
    <n v="304"/>
    <n v="19"/>
    <n v="7"/>
    <n v="2023"/>
    <d v="2023-07-19T00:00:00"/>
    <s v="CUST304"/>
    <x v="0"/>
    <n v="37"/>
    <x v="1"/>
    <x v="2"/>
    <n v="2"/>
    <n v="30"/>
    <n v="60"/>
    <n v="1.2"/>
    <n v="0"/>
  </r>
  <r>
    <n v="676"/>
    <n v="19"/>
    <n v="7"/>
    <n v="2023"/>
    <d v="2023-07-19T00:00:00"/>
    <s v="CUST676"/>
    <x v="1"/>
    <n v="63"/>
    <x v="2"/>
    <x v="2"/>
    <n v="3"/>
    <n v="500"/>
    <n v="1500"/>
    <n v="30"/>
    <n v="0"/>
  </r>
  <r>
    <n v="686"/>
    <n v="19"/>
    <n v="7"/>
    <n v="2023"/>
    <d v="2023-07-19T00:00:00"/>
    <s v="CUST686"/>
    <x v="0"/>
    <n v="28"/>
    <x v="0"/>
    <x v="2"/>
    <n v="4"/>
    <n v="50"/>
    <n v="200"/>
    <n v="4"/>
    <n v="0"/>
  </r>
  <r>
    <n v="698"/>
    <n v="19"/>
    <n v="7"/>
    <n v="2023"/>
    <d v="2023-07-19T00:00:00"/>
    <s v="CUST698"/>
    <x v="0"/>
    <n v="64"/>
    <x v="2"/>
    <x v="2"/>
    <n v="1"/>
    <n v="300"/>
    <n v="300"/>
    <n v="6"/>
    <n v="0"/>
  </r>
  <r>
    <n v="563"/>
    <n v="9"/>
    <n v="8"/>
    <n v="2023"/>
    <d v="2023-08-09T00:00:00"/>
    <s v="CUST563"/>
    <x v="1"/>
    <n v="20"/>
    <x v="0"/>
    <x v="0"/>
    <n v="2"/>
    <n v="30"/>
    <n v="60"/>
    <n v="1.2"/>
    <n v="0"/>
  </r>
  <r>
    <n v="577"/>
    <n v="13"/>
    <n v="2"/>
    <n v="2023"/>
    <d v="2023-02-13T00:00:00"/>
    <s v="CUST577"/>
    <x v="1"/>
    <n v="21"/>
    <x v="0"/>
    <x v="1"/>
    <n v="4"/>
    <n v="500"/>
    <n v="2000"/>
    <n v="40"/>
    <n v="0"/>
  </r>
  <r>
    <n v="613"/>
    <n v="23"/>
    <n v="4"/>
    <n v="2023"/>
    <d v="2023-04-23T00:00:00"/>
    <s v="CUST613"/>
    <x v="0"/>
    <n v="52"/>
    <x v="2"/>
    <x v="0"/>
    <n v="3"/>
    <n v="30"/>
    <n v="90"/>
    <n v="1.8"/>
    <n v="0"/>
  </r>
  <r>
    <n v="773"/>
    <n v="23"/>
    <n v="7"/>
    <n v="2023"/>
    <d v="2023-07-23T00:00:00"/>
    <s v="CUST773"/>
    <x v="1"/>
    <n v="25"/>
    <x v="0"/>
    <x v="2"/>
    <n v="4"/>
    <n v="500"/>
    <n v="2000"/>
    <n v="40"/>
    <n v="0"/>
  </r>
  <r>
    <n v="615"/>
    <n v="23"/>
    <n v="12"/>
    <n v="2023"/>
    <d v="2023-12-23T00:00:00"/>
    <s v="CUST615"/>
    <x v="0"/>
    <n v="61"/>
    <x v="2"/>
    <x v="0"/>
    <n v="4"/>
    <n v="25"/>
    <n v="100"/>
    <n v="2"/>
    <n v="0"/>
  </r>
  <r>
    <n v="213"/>
    <n v="24"/>
    <n v="7"/>
    <n v="2023"/>
    <d v="2023-07-24T00:00:00"/>
    <s v="CUST213"/>
    <x v="1"/>
    <n v="27"/>
    <x v="0"/>
    <x v="1"/>
    <n v="3"/>
    <n v="500"/>
    <n v="1500"/>
    <n v="30"/>
    <n v="0"/>
  </r>
  <r>
    <n v="616"/>
    <n v="23"/>
    <n v="9"/>
    <n v="2023"/>
    <d v="2023-09-23T00:00:00"/>
    <s v="CUST616"/>
    <x v="1"/>
    <n v="41"/>
    <x v="1"/>
    <x v="0"/>
    <n v="2"/>
    <n v="50"/>
    <n v="100"/>
    <n v="2"/>
    <n v="0"/>
  </r>
  <r>
    <n v="583"/>
    <n v="21"/>
    <n v="6"/>
    <n v="2023"/>
    <d v="2023-06-21T00:00:00"/>
    <s v="CUST583"/>
    <x v="0"/>
    <n v="24"/>
    <x v="0"/>
    <x v="2"/>
    <n v="4"/>
    <n v="25"/>
    <n v="100"/>
    <n v="2"/>
    <n v="0"/>
  </r>
  <r>
    <n v="605"/>
    <n v="24"/>
    <n v="7"/>
    <n v="2023"/>
    <d v="2023-07-24T00:00:00"/>
    <s v="CUST605"/>
    <x v="1"/>
    <n v="37"/>
    <x v="1"/>
    <x v="2"/>
    <n v="2"/>
    <n v="500"/>
    <n v="1000"/>
    <n v="20"/>
    <n v="0"/>
  </r>
  <r>
    <n v="585"/>
    <n v="1"/>
    <n v="5"/>
    <n v="2023"/>
    <d v="2023-05-01T00:00:00"/>
    <s v="CUST585"/>
    <x v="0"/>
    <n v="24"/>
    <x v="0"/>
    <x v="0"/>
    <n v="1"/>
    <n v="25"/>
    <n v="25"/>
    <n v="0.5"/>
    <n v="0"/>
  </r>
  <r>
    <n v="299"/>
    <n v="25"/>
    <n v="7"/>
    <n v="2023"/>
    <d v="2023-07-25T00:00:00"/>
    <s v="CUST299"/>
    <x v="1"/>
    <n v="61"/>
    <x v="2"/>
    <x v="2"/>
    <n v="2"/>
    <n v="500"/>
    <n v="1000"/>
    <n v="20"/>
    <n v="0"/>
  </r>
  <r>
    <n v="934"/>
    <n v="25"/>
    <n v="7"/>
    <n v="2023"/>
    <d v="2023-07-25T00:00:00"/>
    <s v="CUST934"/>
    <x v="1"/>
    <n v="30"/>
    <x v="1"/>
    <x v="1"/>
    <n v="1"/>
    <n v="500"/>
    <n v="500"/>
    <n v="10"/>
    <n v="0"/>
  </r>
  <r>
    <n v="270"/>
    <n v="26"/>
    <n v="7"/>
    <n v="2023"/>
    <d v="2023-07-26T00:00:00"/>
    <s v="CUST270"/>
    <x v="1"/>
    <n v="43"/>
    <x v="1"/>
    <x v="2"/>
    <n v="1"/>
    <n v="300"/>
    <n v="300"/>
    <n v="6"/>
    <n v="0"/>
  </r>
  <r>
    <n v="338"/>
    <n v="26"/>
    <n v="7"/>
    <n v="2023"/>
    <d v="2023-07-26T00:00:00"/>
    <s v="CUST338"/>
    <x v="1"/>
    <n v="54"/>
    <x v="2"/>
    <x v="1"/>
    <n v="2"/>
    <n v="50"/>
    <n v="100"/>
    <n v="2"/>
    <n v="0"/>
  </r>
  <r>
    <n v="543"/>
    <n v="26"/>
    <n v="7"/>
    <n v="2023"/>
    <d v="2023-07-26T00:00:00"/>
    <s v="CUST543"/>
    <x v="1"/>
    <n v="49"/>
    <x v="1"/>
    <x v="1"/>
    <n v="2"/>
    <n v="300"/>
    <n v="600"/>
    <n v="12"/>
    <n v="0"/>
  </r>
  <r>
    <n v="594"/>
    <n v="1"/>
    <n v="9"/>
    <n v="2023"/>
    <d v="2023-09-01T00:00:00"/>
    <s v="CUST594"/>
    <x v="0"/>
    <n v="19"/>
    <x v="0"/>
    <x v="2"/>
    <n v="2"/>
    <n v="300"/>
    <n v="600"/>
    <n v="12"/>
    <n v="0"/>
  </r>
  <r>
    <n v="623"/>
    <n v="10"/>
    <n v="3"/>
    <n v="2023"/>
    <d v="2023-03-10T00:00:00"/>
    <s v="CUST623"/>
    <x v="1"/>
    <n v="34"/>
    <x v="1"/>
    <x v="0"/>
    <n v="3"/>
    <n v="50"/>
    <n v="150"/>
    <n v="3"/>
    <n v="0"/>
  </r>
  <r>
    <n v="864"/>
    <n v="27"/>
    <n v="7"/>
    <n v="2023"/>
    <d v="2023-07-27T00:00:00"/>
    <s v="CUST864"/>
    <x v="0"/>
    <n v="51"/>
    <x v="2"/>
    <x v="2"/>
    <n v="1"/>
    <n v="500"/>
    <n v="500"/>
    <n v="10"/>
    <n v="0"/>
  </r>
  <r>
    <n v="254"/>
    <n v="28"/>
    <n v="7"/>
    <n v="2023"/>
    <d v="2023-07-28T00:00:00"/>
    <s v="CUST254"/>
    <x v="1"/>
    <n v="41"/>
    <x v="1"/>
    <x v="2"/>
    <n v="1"/>
    <n v="500"/>
    <n v="500"/>
    <n v="10"/>
    <n v="0"/>
  </r>
  <r>
    <n v="295"/>
    <n v="28"/>
    <n v="7"/>
    <n v="2023"/>
    <d v="2023-07-28T00:00:00"/>
    <s v="CUST295"/>
    <x v="0"/>
    <n v="27"/>
    <x v="0"/>
    <x v="1"/>
    <n v="3"/>
    <n v="300"/>
    <n v="900"/>
    <n v="18"/>
    <n v="0"/>
  </r>
  <r>
    <n v="457"/>
    <n v="28"/>
    <n v="7"/>
    <n v="2023"/>
    <d v="2023-07-28T00:00:00"/>
    <s v="CUST457"/>
    <x v="0"/>
    <n v="58"/>
    <x v="2"/>
    <x v="1"/>
    <n v="3"/>
    <n v="300"/>
    <n v="900"/>
    <n v="18"/>
    <n v="0"/>
  </r>
  <r>
    <n v="668"/>
    <n v="28"/>
    <n v="7"/>
    <n v="2023"/>
    <d v="2023-07-28T00:00:00"/>
    <s v="CUST668"/>
    <x v="0"/>
    <n v="62"/>
    <x v="2"/>
    <x v="2"/>
    <n v="3"/>
    <n v="50"/>
    <n v="150"/>
    <n v="3"/>
    <n v="0"/>
  </r>
  <r>
    <n v="850"/>
    <n v="28"/>
    <n v="7"/>
    <n v="2023"/>
    <d v="2023-07-28T00:00:00"/>
    <s v="CUST850"/>
    <x v="0"/>
    <n v="26"/>
    <x v="0"/>
    <x v="1"/>
    <n v="2"/>
    <n v="500"/>
    <n v="1000"/>
    <n v="20"/>
    <n v="0"/>
  </r>
  <r>
    <n v="541"/>
    <n v="29"/>
    <n v="7"/>
    <n v="2023"/>
    <d v="2023-07-29T00:00:00"/>
    <s v="CUST541"/>
    <x v="1"/>
    <n v="56"/>
    <x v="2"/>
    <x v="1"/>
    <n v="1"/>
    <n v="500"/>
    <n v="500"/>
    <n v="10"/>
    <n v="0"/>
  </r>
  <r>
    <n v="980"/>
    <n v="29"/>
    <n v="7"/>
    <n v="2023"/>
    <d v="2023-07-29T00:00:00"/>
    <s v="CUST980"/>
    <x v="0"/>
    <n v="31"/>
    <x v="1"/>
    <x v="2"/>
    <n v="3"/>
    <n v="25"/>
    <n v="75"/>
    <n v="1.5"/>
    <n v="0"/>
  </r>
  <r>
    <n v="262"/>
    <n v="30"/>
    <n v="7"/>
    <n v="2023"/>
    <d v="2023-07-30T00:00:00"/>
    <s v="CUST262"/>
    <x v="0"/>
    <n v="32"/>
    <x v="1"/>
    <x v="1"/>
    <n v="4"/>
    <n v="30"/>
    <n v="120"/>
    <n v="2.4"/>
    <n v="0"/>
  </r>
  <r>
    <n v="467"/>
    <n v="30"/>
    <n v="7"/>
    <n v="2023"/>
    <d v="2023-07-30T00:00:00"/>
    <s v="CUST467"/>
    <x v="0"/>
    <n v="53"/>
    <x v="2"/>
    <x v="2"/>
    <n v="3"/>
    <n v="50"/>
    <n v="150"/>
    <n v="3"/>
    <n v="0"/>
  </r>
  <r>
    <n v="463"/>
    <n v="31"/>
    <n v="7"/>
    <n v="2023"/>
    <d v="2023-07-31T00:00:00"/>
    <s v="CUST463"/>
    <x v="0"/>
    <n v="54"/>
    <x v="2"/>
    <x v="1"/>
    <n v="3"/>
    <n v="500"/>
    <n v="1500"/>
    <n v="30"/>
    <n v="0"/>
  </r>
  <r>
    <n v="598"/>
    <n v="1"/>
    <n v="8"/>
    <n v="2023"/>
    <d v="2023-08-01T00:00:00"/>
    <s v="CUST598"/>
    <x v="1"/>
    <n v="37"/>
    <x v="1"/>
    <x v="1"/>
    <n v="4"/>
    <n v="30"/>
    <n v="120"/>
    <n v="2.4"/>
    <n v="0"/>
  </r>
  <r>
    <n v="667"/>
    <n v="1"/>
    <n v="8"/>
    <n v="2023"/>
    <d v="2023-08-01T00:00:00"/>
    <s v="CUST667"/>
    <x v="0"/>
    <n v="29"/>
    <x v="0"/>
    <x v="2"/>
    <n v="1"/>
    <n v="500"/>
    <n v="500"/>
    <n v="10"/>
    <n v="0"/>
  </r>
  <r>
    <n v="672"/>
    <n v="1"/>
    <n v="8"/>
    <n v="2023"/>
    <d v="2023-08-01T00:00:00"/>
    <s v="CUST672"/>
    <x v="0"/>
    <n v="34"/>
    <x v="1"/>
    <x v="1"/>
    <n v="2"/>
    <n v="50"/>
    <n v="100"/>
    <n v="2"/>
    <n v="0"/>
  </r>
  <r>
    <n v="949"/>
    <n v="2"/>
    <n v="8"/>
    <n v="2023"/>
    <d v="2023-08-02T00:00:00"/>
    <s v="CUST949"/>
    <x v="0"/>
    <n v="41"/>
    <x v="1"/>
    <x v="2"/>
    <n v="2"/>
    <n v="25"/>
    <n v="50"/>
    <n v="1"/>
    <n v="0"/>
  </r>
  <r>
    <n v="27"/>
    <n v="3"/>
    <n v="8"/>
    <n v="2023"/>
    <d v="2023-08-03T00:00:00"/>
    <s v="CUST027"/>
    <x v="0"/>
    <n v="38"/>
    <x v="1"/>
    <x v="1"/>
    <n v="2"/>
    <n v="25"/>
    <n v="50"/>
    <n v="1"/>
    <n v="0"/>
  </r>
  <r>
    <n v="347"/>
    <n v="3"/>
    <n v="8"/>
    <n v="2023"/>
    <d v="2023-08-03T00:00:00"/>
    <s v="CUST347"/>
    <x v="1"/>
    <n v="42"/>
    <x v="1"/>
    <x v="2"/>
    <n v="1"/>
    <n v="25"/>
    <n v="25"/>
    <n v="0.5"/>
    <n v="0"/>
  </r>
  <r>
    <n v="687"/>
    <n v="3"/>
    <n v="8"/>
    <n v="2023"/>
    <d v="2023-08-03T00:00:00"/>
    <s v="CUST687"/>
    <x v="0"/>
    <n v="53"/>
    <x v="2"/>
    <x v="2"/>
    <n v="1"/>
    <n v="300"/>
    <n v="300"/>
    <n v="6"/>
    <n v="0"/>
  </r>
  <r>
    <n v="549"/>
    <n v="4"/>
    <n v="8"/>
    <n v="2023"/>
    <d v="2023-08-04T00:00:00"/>
    <s v="CUST549"/>
    <x v="0"/>
    <n v="50"/>
    <x v="2"/>
    <x v="1"/>
    <n v="2"/>
    <n v="50"/>
    <n v="100"/>
    <n v="2"/>
    <n v="0"/>
  </r>
  <r>
    <n v="625"/>
    <n v="8"/>
    <n v="12"/>
    <n v="2023"/>
    <d v="2023-12-08T00:00:00"/>
    <s v="CUST625"/>
    <x v="1"/>
    <n v="31"/>
    <x v="1"/>
    <x v="0"/>
    <n v="1"/>
    <n v="300"/>
    <n v="300"/>
    <n v="6"/>
    <n v="0"/>
  </r>
  <r>
    <n v="626"/>
    <n v="29"/>
    <n v="9"/>
    <n v="2023"/>
    <d v="2023-09-29T00:00:00"/>
    <s v="CUST626"/>
    <x v="0"/>
    <n v="26"/>
    <x v="0"/>
    <x v="0"/>
    <n v="4"/>
    <n v="500"/>
    <n v="2000"/>
    <n v="40"/>
    <n v="0"/>
  </r>
  <r>
    <n v="627"/>
    <n v="14"/>
    <n v="10"/>
    <n v="2023"/>
    <d v="2023-10-14T00:00:00"/>
    <s v="CUST627"/>
    <x v="1"/>
    <n v="57"/>
    <x v="2"/>
    <x v="0"/>
    <n v="1"/>
    <n v="50"/>
    <n v="50"/>
    <n v="1"/>
    <n v="0"/>
  </r>
  <r>
    <n v="595"/>
    <n v="9"/>
    <n v="11"/>
    <n v="2023"/>
    <d v="2023-11-09T00:00:00"/>
    <s v="CUST595"/>
    <x v="0"/>
    <n v="18"/>
    <x v="0"/>
    <x v="0"/>
    <n v="4"/>
    <n v="500"/>
    <n v="2000"/>
    <n v="40"/>
    <n v="0"/>
  </r>
  <r>
    <n v="35"/>
    <n v="5"/>
    <n v="8"/>
    <n v="2023"/>
    <d v="2023-08-05T00:00:00"/>
    <s v="CUST035"/>
    <x v="0"/>
    <n v="58"/>
    <x v="2"/>
    <x v="1"/>
    <n v="3"/>
    <n v="300"/>
    <n v="900"/>
    <n v="18"/>
    <n v="0"/>
  </r>
  <r>
    <n v="140"/>
    <n v="5"/>
    <n v="8"/>
    <n v="2023"/>
    <d v="2023-08-05T00:00:00"/>
    <s v="CUST140"/>
    <x v="1"/>
    <n v="38"/>
    <x v="1"/>
    <x v="2"/>
    <n v="1"/>
    <n v="30"/>
    <n v="30"/>
    <n v="0.6"/>
    <n v="0"/>
  </r>
  <r>
    <n v="630"/>
    <n v="15"/>
    <n v="8"/>
    <n v="2023"/>
    <d v="2023-08-15T00:00:00"/>
    <s v="CUST630"/>
    <x v="1"/>
    <n v="42"/>
    <x v="1"/>
    <x v="0"/>
    <n v="2"/>
    <n v="50"/>
    <n v="100"/>
    <n v="2"/>
    <n v="0"/>
  </r>
  <r>
    <n v="637"/>
    <n v="1"/>
    <n v="9"/>
    <n v="2023"/>
    <d v="2023-09-01T00:00:00"/>
    <s v="CUST637"/>
    <x v="1"/>
    <n v="43"/>
    <x v="1"/>
    <x v="0"/>
    <n v="2"/>
    <n v="300"/>
    <n v="600"/>
    <n v="12"/>
    <n v="0"/>
  </r>
  <r>
    <n v="642"/>
    <n v="22"/>
    <n v="5"/>
    <n v="2023"/>
    <d v="2023-05-22T00:00:00"/>
    <s v="CUST642"/>
    <x v="0"/>
    <n v="54"/>
    <x v="2"/>
    <x v="0"/>
    <n v="4"/>
    <n v="25"/>
    <n v="100"/>
    <n v="2"/>
    <n v="0"/>
  </r>
  <r>
    <n v="308"/>
    <n v="5"/>
    <n v="8"/>
    <n v="2023"/>
    <d v="2023-08-05T00:00:00"/>
    <s v="CUST308"/>
    <x v="0"/>
    <n v="34"/>
    <x v="1"/>
    <x v="1"/>
    <n v="4"/>
    <n v="300"/>
    <n v="1200"/>
    <n v="24"/>
    <n v="0"/>
  </r>
  <r>
    <n v="418"/>
    <n v="5"/>
    <n v="8"/>
    <n v="2023"/>
    <d v="2023-08-05T00:00:00"/>
    <s v="CUST418"/>
    <x v="0"/>
    <n v="60"/>
    <x v="2"/>
    <x v="2"/>
    <n v="2"/>
    <n v="500"/>
    <n v="1000"/>
    <n v="20"/>
    <n v="0"/>
  </r>
  <r>
    <n v="612"/>
    <n v="6"/>
    <n v="8"/>
    <n v="2023"/>
    <d v="2023-08-06T00:00:00"/>
    <s v="CUST612"/>
    <x v="0"/>
    <n v="61"/>
    <x v="2"/>
    <x v="2"/>
    <n v="1"/>
    <n v="500"/>
    <n v="500"/>
    <n v="10"/>
    <n v="0"/>
  </r>
  <r>
    <n v="875"/>
    <n v="6"/>
    <n v="8"/>
    <n v="2023"/>
    <d v="2023-08-06T00:00:00"/>
    <s v="CUST875"/>
    <x v="0"/>
    <n v="51"/>
    <x v="2"/>
    <x v="2"/>
    <n v="4"/>
    <n v="500"/>
    <n v="2000"/>
    <n v="40"/>
    <n v="0"/>
  </r>
  <r>
    <n v="430"/>
    <n v="7"/>
    <n v="8"/>
    <n v="2023"/>
    <d v="2023-08-07T00:00:00"/>
    <s v="CUST430"/>
    <x v="0"/>
    <n v="43"/>
    <x v="1"/>
    <x v="2"/>
    <n v="3"/>
    <n v="300"/>
    <n v="900"/>
    <n v="18"/>
    <n v="0"/>
  </r>
  <r>
    <n v="633"/>
    <n v="7"/>
    <n v="8"/>
    <n v="2023"/>
    <d v="2023-08-07T00:00:00"/>
    <s v="CUST633"/>
    <x v="1"/>
    <n v="39"/>
    <x v="1"/>
    <x v="1"/>
    <n v="4"/>
    <n v="30"/>
    <n v="120"/>
    <n v="2.4"/>
    <n v="0"/>
  </r>
  <r>
    <n v="646"/>
    <n v="3"/>
    <n v="5"/>
    <n v="2023"/>
    <d v="2023-05-03T00:00:00"/>
    <s v="CUST646"/>
    <x v="1"/>
    <n v="38"/>
    <x v="1"/>
    <x v="0"/>
    <n v="3"/>
    <n v="30"/>
    <n v="90"/>
    <n v="1.8"/>
    <n v="0"/>
  </r>
  <r>
    <n v="647"/>
    <n v="21"/>
    <n v="5"/>
    <n v="2023"/>
    <d v="2023-05-21T00:00:00"/>
    <s v="CUST647"/>
    <x v="1"/>
    <n v="59"/>
    <x v="2"/>
    <x v="0"/>
    <n v="3"/>
    <n v="500"/>
    <n v="1500"/>
    <n v="30"/>
    <n v="0"/>
  </r>
  <r>
    <n v="649"/>
    <n v="9"/>
    <n v="2"/>
    <n v="2023"/>
    <d v="2023-02-09T00:00:00"/>
    <s v="CUST649"/>
    <x v="0"/>
    <n v="58"/>
    <x v="2"/>
    <x v="0"/>
    <n v="2"/>
    <n v="300"/>
    <n v="600"/>
    <n v="12"/>
    <n v="0"/>
  </r>
  <r>
    <n v="651"/>
    <n v="27"/>
    <n v="5"/>
    <n v="2023"/>
    <d v="2023-05-27T00:00:00"/>
    <s v="CUST651"/>
    <x v="1"/>
    <n v="51"/>
    <x v="2"/>
    <x v="0"/>
    <n v="3"/>
    <n v="50"/>
    <n v="150"/>
    <n v="3"/>
    <n v="0"/>
  </r>
  <r>
    <n v="653"/>
    <n v="20"/>
    <n v="5"/>
    <n v="2023"/>
    <d v="2023-05-20T00:00:00"/>
    <s v="CUST653"/>
    <x v="1"/>
    <n v="54"/>
    <x v="2"/>
    <x v="0"/>
    <n v="3"/>
    <n v="25"/>
    <n v="75"/>
    <n v="1.5"/>
    <n v="0"/>
  </r>
  <r>
    <n v="654"/>
    <n v="21"/>
    <n v="6"/>
    <n v="2023"/>
    <d v="2023-06-21T00:00:00"/>
    <s v="CUST654"/>
    <x v="1"/>
    <n v="42"/>
    <x v="1"/>
    <x v="0"/>
    <n v="3"/>
    <n v="25"/>
    <n v="75"/>
    <n v="1.5"/>
    <n v="0"/>
  </r>
  <r>
    <n v="655"/>
    <n v="13"/>
    <n v="6"/>
    <n v="2023"/>
    <d v="2023-06-13T00:00:00"/>
    <s v="CUST655"/>
    <x v="0"/>
    <n v="55"/>
    <x v="2"/>
    <x v="0"/>
    <n v="1"/>
    <n v="500"/>
    <n v="500"/>
    <n v="10"/>
    <n v="0"/>
  </r>
  <r>
    <n v="657"/>
    <n v="11"/>
    <n v="2"/>
    <n v="2023"/>
    <d v="2023-02-11T00:00:00"/>
    <s v="CUST657"/>
    <x v="1"/>
    <n v="40"/>
    <x v="1"/>
    <x v="0"/>
    <n v="1"/>
    <n v="25"/>
    <n v="25"/>
    <n v="0.5"/>
    <n v="0"/>
  </r>
  <r>
    <n v="658"/>
    <n v="12"/>
    <n v="3"/>
    <n v="2023"/>
    <d v="2023-03-12T00:00:00"/>
    <s v="CUST658"/>
    <x v="1"/>
    <n v="59"/>
    <x v="2"/>
    <x v="0"/>
    <n v="1"/>
    <n v="25"/>
    <n v="25"/>
    <n v="0.5"/>
    <n v="0"/>
  </r>
  <r>
    <n v="661"/>
    <n v="16"/>
    <n v="7"/>
    <n v="2023"/>
    <d v="2023-07-16T00:00:00"/>
    <s v="CUST661"/>
    <x v="0"/>
    <n v="44"/>
    <x v="1"/>
    <x v="0"/>
    <n v="4"/>
    <n v="25"/>
    <n v="100"/>
    <n v="2"/>
    <n v="0"/>
  </r>
  <r>
    <n v="508"/>
    <n v="11"/>
    <n v="8"/>
    <n v="2023"/>
    <d v="2023-08-11T00:00:00"/>
    <s v="CUST508"/>
    <x v="1"/>
    <n v="58"/>
    <x v="2"/>
    <x v="1"/>
    <n v="2"/>
    <n v="300"/>
    <n v="600"/>
    <n v="12"/>
    <n v="0"/>
  </r>
  <r>
    <n v="807"/>
    <n v="11"/>
    <n v="8"/>
    <n v="2023"/>
    <d v="2023-08-11T00:00:00"/>
    <s v="CUST807"/>
    <x v="0"/>
    <n v="50"/>
    <x v="2"/>
    <x v="2"/>
    <n v="4"/>
    <n v="50"/>
    <n v="200"/>
    <n v="4"/>
    <n v="0"/>
  </r>
  <r>
    <n v="511"/>
    <n v="12"/>
    <n v="8"/>
    <n v="2023"/>
    <d v="2023-08-12T00:00:00"/>
    <s v="CUST511"/>
    <x v="1"/>
    <n v="45"/>
    <x v="1"/>
    <x v="1"/>
    <n v="2"/>
    <n v="50"/>
    <n v="100"/>
    <n v="2"/>
    <n v="0"/>
  </r>
  <r>
    <n v="597"/>
    <n v="22"/>
    <n v="8"/>
    <n v="2023"/>
    <d v="2023-08-22T00:00:00"/>
    <s v="CUST597"/>
    <x v="1"/>
    <n v="22"/>
    <x v="0"/>
    <x v="1"/>
    <n v="4"/>
    <n v="300"/>
    <n v="1200"/>
    <n v="24"/>
    <n v="0"/>
  </r>
  <r>
    <n v="601"/>
    <n v="10"/>
    <n v="4"/>
    <n v="2023"/>
    <d v="2023-04-10T00:00:00"/>
    <s v="CUST601"/>
    <x v="1"/>
    <n v="19"/>
    <x v="0"/>
    <x v="0"/>
    <n v="1"/>
    <n v="30"/>
    <n v="30"/>
    <n v="0.6"/>
    <n v="0"/>
  </r>
  <r>
    <n v="816"/>
    <n v="12"/>
    <n v="8"/>
    <n v="2023"/>
    <d v="2023-08-12T00:00:00"/>
    <s v="CUST816"/>
    <x v="1"/>
    <n v="47"/>
    <x v="1"/>
    <x v="1"/>
    <n v="2"/>
    <n v="500"/>
    <n v="1000"/>
    <n v="20"/>
    <n v="0"/>
  </r>
  <r>
    <n v="217"/>
    <n v="13"/>
    <n v="8"/>
    <n v="2023"/>
    <d v="2023-08-13T00:00:00"/>
    <s v="CUST217"/>
    <x v="0"/>
    <n v="35"/>
    <x v="1"/>
    <x v="2"/>
    <n v="4"/>
    <n v="50"/>
    <n v="200"/>
    <n v="4"/>
    <n v="0"/>
  </r>
  <r>
    <n v="664"/>
    <n v="28"/>
    <n v="12"/>
    <n v="2023"/>
    <d v="2023-12-28T00:00:00"/>
    <s v="CUST664"/>
    <x v="0"/>
    <n v="44"/>
    <x v="1"/>
    <x v="0"/>
    <n v="4"/>
    <n v="500"/>
    <n v="2000"/>
    <n v="40"/>
    <n v="0"/>
  </r>
  <r>
    <n v="648"/>
    <n v="14"/>
    <n v="8"/>
    <n v="2023"/>
    <d v="2023-08-14T00:00:00"/>
    <s v="CUST648"/>
    <x v="1"/>
    <n v="53"/>
    <x v="2"/>
    <x v="1"/>
    <n v="4"/>
    <n v="300"/>
    <n v="1200"/>
    <n v="24"/>
    <n v="0"/>
  </r>
  <r>
    <n v="602"/>
    <n v="23"/>
    <n v="12"/>
    <n v="2023"/>
    <d v="2023-12-23T00:00:00"/>
    <s v="CUST602"/>
    <x v="0"/>
    <n v="20"/>
    <x v="0"/>
    <x v="2"/>
    <n v="1"/>
    <n v="300"/>
    <n v="300"/>
    <n v="6"/>
    <n v="0"/>
  </r>
  <r>
    <n v="285"/>
    <n v="15"/>
    <n v="8"/>
    <n v="2023"/>
    <d v="2023-08-15T00:00:00"/>
    <s v="CUST285"/>
    <x v="0"/>
    <n v="31"/>
    <x v="1"/>
    <x v="2"/>
    <n v="1"/>
    <n v="25"/>
    <n v="25"/>
    <n v="0.5"/>
    <n v="0"/>
  </r>
  <r>
    <n v="427"/>
    <n v="15"/>
    <n v="8"/>
    <n v="2023"/>
    <d v="2023-08-15T00:00:00"/>
    <s v="CUST427"/>
    <x v="1"/>
    <n v="25"/>
    <x v="0"/>
    <x v="2"/>
    <n v="1"/>
    <n v="25"/>
    <n v="25"/>
    <n v="0.5"/>
    <n v="0"/>
  </r>
  <r>
    <n v="569"/>
    <n v="15"/>
    <n v="8"/>
    <n v="2023"/>
    <d v="2023-08-15T00:00:00"/>
    <s v="CUST569"/>
    <x v="1"/>
    <n v="52"/>
    <x v="2"/>
    <x v="2"/>
    <n v="4"/>
    <n v="50"/>
    <n v="200"/>
    <n v="4"/>
    <n v="0"/>
  </r>
  <r>
    <n v="665"/>
    <n v="20"/>
    <n v="4"/>
    <n v="2023"/>
    <d v="2023-04-20T00:00:00"/>
    <s v="CUST665"/>
    <x v="1"/>
    <n v="57"/>
    <x v="2"/>
    <x v="0"/>
    <n v="1"/>
    <n v="50"/>
    <n v="50"/>
    <n v="1"/>
    <n v="0"/>
  </r>
  <r>
    <n v="673"/>
    <n v="1"/>
    <n v="2"/>
    <n v="2023"/>
    <d v="2023-02-01T00:00:00"/>
    <s v="CUST673"/>
    <x v="0"/>
    <n v="43"/>
    <x v="1"/>
    <x v="0"/>
    <n v="3"/>
    <n v="500"/>
    <n v="1500"/>
    <n v="30"/>
    <n v="0"/>
  </r>
  <r>
    <n v="957"/>
    <n v="15"/>
    <n v="8"/>
    <n v="2023"/>
    <d v="2023-08-15T00:00:00"/>
    <s v="CUST957"/>
    <x v="0"/>
    <n v="60"/>
    <x v="2"/>
    <x v="2"/>
    <n v="4"/>
    <n v="30"/>
    <n v="120"/>
    <n v="2.4"/>
    <n v="0"/>
  </r>
  <r>
    <n v="635"/>
    <n v="17"/>
    <n v="8"/>
    <n v="2023"/>
    <d v="2023-08-17T00:00:00"/>
    <s v="CUST635"/>
    <x v="0"/>
    <n v="63"/>
    <x v="2"/>
    <x v="2"/>
    <n v="3"/>
    <n v="300"/>
    <n v="900"/>
    <n v="18"/>
    <n v="0"/>
  </r>
  <r>
    <n v="29"/>
    <n v="18"/>
    <n v="8"/>
    <n v="2023"/>
    <d v="2023-08-18T00:00:00"/>
    <s v="CUST029"/>
    <x v="0"/>
    <n v="42"/>
    <x v="1"/>
    <x v="2"/>
    <n v="1"/>
    <n v="30"/>
    <n v="30"/>
    <n v="0.6"/>
    <n v="0"/>
  </r>
  <r>
    <n v="674"/>
    <n v="16"/>
    <n v="4"/>
    <n v="2023"/>
    <d v="2023-04-16T00:00:00"/>
    <s v="CUST674"/>
    <x v="0"/>
    <n v="38"/>
    <x v="1"/>
    <x v="0"/>
    <n v="1"/>
    <n v="300"/>
    <n v="300"/>
    <n v="6"/>
    <n v="0"/>
  </r>
  <r>
    <n v="859"/>
    <n v="18"/>
    <n v="8"/>
    <n v="2023"/>
    <d v="2023-08-18T00:00:00"/>
    <s v="CUST859"/>
    <x v="0"/>
    <n v="56"/>
    <x v="2"/>
    <x v="2"/>
    <n v="3"/>
    <n v="500"/>
    <n v="1500"/>
    <n v="30"/>
    <n v="0"/>
  </r>
  <r>
    <n v="638"/>
    <n v="19"/>
    <n v="8"/>
    <n v="2023"/>
    <d v="2023-08-19T00:00:00"/>
    <s v="CUST638"/>
    <x v="1"/>
    <n v="46"/>
    <x v="1"/>
    <x v="2"/>
    <n v="1"/>
    <n v="500"/>
    <n v="500"/>
    <n v="10"/>
    <n v="0"/>
  </r>
  <r>
    <n v="823"/>
    <n v="19"/>
    <n v="8"/>
    <n v="2023"/>
    <d v="2023-08-19T00:00:00"/>
    <s v="CUST823"/>
    <x v="0"/>
    <n v="56"/>
    <x v="2"/>
    <x v="2"/>
    <n v="2"/>
    <n v="50"/>
    <n v="100"/>
    <n v="2"/>
    <n v="0"/>
  </r>
  <r>
    <n v="675"/>
    <n v="4"/>
    <n v="8"/>
    <n v="2023"/>
    <d v="2023-08-04T00:00:00"/>
    <s v="CUST675"/>
    <x v="0"/>
    <n v="45"/>
    <x v="1"/>
    <x v="0"/>
    <n v="2"/>
    <n v="30"/>
    <n v="60"/>
    <n v="1.2"/>
    <n v="0"/>
  </r>
  <r>
    <n v="981"/>
    <n v="19"/>
    <n v="8"/>
    <n v="2023"/>
    <d v="2023-08-19T00:00:00"/>
    <s v="CUST981"/>
    <x v="0"/>
    <n v="30"/>
    <x v="1"/>
    <x v="2"/>
    <n v="2"/>
    <n v="30"/>
    <n v="60"/>
    <n v="1.2"/>
    <n v="0"/>
  </r>
  <r>
    <n v="219"/>
    <n v="20"/>
    <n v="8"/>
    <n v="2023"/>
    <d v="2023-08-20T00:00:00"/>
    <s v="CUST219"/>
    <x v="0"/>
    <n v="53"/>
    <x v="2"/>
    <x v="2"/>
    <n v="3"/>
    <n v="30"/>
    <n v="90"/>
    <n v="1.8"/>
    <n v="0"/>
  </r>
  <r>
    <n v="73"/>
    <n v="21"/>
    <n v="8"/>
    <n v="2023"/>
    <d v="2023-08-21T00:00:00"/>
    <s v="CUST073"/>
    <x v="1"/>
    <n v="29"/>
    <x v="0"/>
    <x v="2"/>
    <n v="3"/>
    <n v="30"/>
    <n v="90"/>
    <n v="1.8"/>
    <n v="0"/>
  </r>
  <r>
    <n v="680"/>
    <n v="22"/>
    <n v="10"/>
    <n v="2023"/>
    <d v="2023-10-22T00:00:00"/>
    <s v="CUST680"/>
    <x v="0"/>
    <n v="53"/>
    <x v="2"/>
    <x v="0"/>
    <n v="3"/>
    <n v="300"/>
    <n v="900"/>
    <n v="18"/>
    <n v="0"/>
  </r>
  <r>
    <n v="306"/>
    <n v="21"/>
    <n v="8"/>
    <n v="2023"/>
    <d v="2023-08-21T00:00:00"/>
    <s v="CUST306"/>
    <x v="1"/>
    <n v="54"/>
    <x v="2"/>
    <x v="2"/>
    <n v="1"/>
    <n v="50"/>
    <n v="50"/>
    <n v="1"/>
    <n v="0"/>
  </r>
  <r>
    <n v="725"/>
    <n v="21"/>
    <n v="8"/>
    <n v="2023"/>
    <d v="2023-08-21T00:00:00"/>
    <s v="CUST725"/>
    <x v="1"/>
    <n v="61"/>
    <x v="2"/>
    <x v="2"/>
    <n v="1"/>
    <n v="300"/>
    <n v="300"/>
    <n v="6"/>
    <n v="0"/>
  </r>
  <r>
    <n v="606"/>
    <n v="5"/>
    <n v="5"/>
    <n v="2023"/>
    <d v="2023-05-05T00:00:00"/>
    <s v="CUST606"/>
    <x v="1"/>
    <n v="22"/>
    <x v="0"/>
    <x v="2"/>
    <n v="1"/>
    <n v="50"/>
    <n v="50"/>
    <n v="1"/>
    <n v="0"/>
  </r>
  <r>
    <n v="992"/>
    <n v="21"/>
    <n v="8"/>
    <n v="2023"/>
    <d v="2023-08-21T00:00:00"/>
    <s v="CUST992"/>
    <x v="0"/>
    <n v="57"/>
    <x v="2"/>
    <x v="2"/>
    <n v="2"/>
    <n v="30"/>
    <n v="60"/>
    <n v="1.2"/>
    <n v="0"/>
  </r>
  <r>
    <n v="628"/>
    <n v="1"/>
    <n v="11"/>
    <n v="2023"/>
    <d v="2023-11-01T00:00:00"/>
    <s v="CUST628"/>
    <x v="0"/>
    <n v="19"/>
    <x v="0"/>
    <x v="1"/>
    <n v="4"/>
    <n v="50"/>
    <n v="200"/>
    <n v="4"/>
    <n v="0"/>
  </r>
  <r>
    <n v="622"/>
    <n v="22"/>
    <n v="8"/>
    <n v="2023"/>
    <d v="2023-08-22T00:00:00"/>
    <s v="CUST622"/>
    <x v="0"/>
    <n v="49"/>
    <x v="1"/>
    <x v="1"/>
    <n v="3"/>
    <n v="25"/>
    <n v="75"/>
    <n v="1.5"/>
    <n v="0"/>
  </r>
  <r>
    <n v="684"/>
    <n v="30"/>
    <n v="6"/>
    <n v="2023"/>
    <d v="2023-06-30T00:00:00"/>
    <s v="CUST684"/>
    <x v="0"/>
    <n v="28"/>
    <x v="0"/>
    <x v="0"/>
    <n v="2"/>
    <n v="500"/>
    <n v="1000"/>
    <n v="20"/>
    <n v="0"/>
  </r>
  <r>
    <n v="636"/>
    <n v="23"/>
    <n v="3"/>
    <n v="2023"/>
    <d v="2023-03-23T00:00:00"/>
    <s v="CUST636"/>
    <x v="0"/>
    <n v="21"/>
    <x v="0"/>
    <x v="1"/>
    <n v="3"/>
    <n v="500"/>
    <n v="1500"/>
    <n v="30"/>
    <n v="0"/>
  </r>
  <r>
    <n v="688"/>
    <n v="3"/>
    <n v="10"/>
    <n v="2023"/>
    <d v="2023-10-03T00:00:00"/>
    <s v="CUST688"/>
    <x v="1"/>
    <n v="56"/>
    <x v="2"/>
    <x v="0"/>
    <n v="4"/>
    <n v="25"/>
    <n v="100"/>
    <n v="2"/>
    <n v="0"/>
  </r>
  <r>
    <n v="50"/>
    <n v="24"/>
    <n v="8"/>
    <n v="2023"/>
    <d v="2023-08-24T00:00:00"/>
    <s v="CUST050"/>
    <x v="0"/>
    <n v="27"/>
    <x v="0"/>
    <x v="1"/>
    <n v="3"/>
    <n v="25"/>
    <n v="75"/>
    <n v="1.5"/>
    <n v="0"/>
  </r>
  <r>
    <n v="479"/>
    <n v="24"/>
    <n v="8"/>
    <n v="2023"/>
    <d v="2023-08-24T00:00:00"/>
    <s v="CUST479"/>
    <x v="1"/>
    <n v="52"/>
    <x v="2"/>
    <x v="2"/>
    <n v="4"/>
    <n v="300"/>
    <n v="1200"/>
    <n v="24"/>
    <n v="0"/>
  </r>
  <r>
    <n v="804"/>
    <n v="24"/>
    <n v="8"/>
    <n v="2023"/>
    <d v="2023-08-24T00:00:00"/>
    <s v="CUST804"/>
    <x v="1"/>
    <n v="42"/>
    <x v="1"/>
    <x v="2"/>
    <n v="1"/>
    <n v="30"/>
    <n v="30"/>
    <n v="0.6"/>
    <n v="0"/>
  </r>
  <r>
    <n v="92"/>
    <n v="25"/>
    <n v="8"/>
    <n v="2023"/>
    <d v="2023-08-25T00:00:00"/>
    <s v="CUST092"/>
    <x v="0"/>
    <n v="51"/>
    <x v="2"/>
    <x v="2"/>
    <n v="4"/>
    <n v="30"/>
    <n v="120"/>
    <n v="2.4"/>
    <n v="0"/>
  </r>
  <r>
    <n v="282"/>
    <n v="25"/>
    <n v="8"/>
    <n v="2023"/>
    <d v="2023-08-25T00:00:00"/>
    <s v="CUST282"/>
    <x v="0"/>
    <n v="64"/>
    <x v="2"/>
    <x v="2"/>
    <n v="4"/>
    <n v="50"/>
    <n v="200"/>
    <n v="4"/>
    <n v="0"/>
  </r>
  <r>
    <n v="718"/>
    <n v="25"/>
    <n v="8"/>
    <n v="2023"/>
    <d v="2023-08-25T00:00:00"/>
    <s v="CUST718"/>
    <x v="0"/>
    <n v="59"/>
    <x v="2"/>
    <x v="1"/>
    <n v="3"/>
    <n v="25"/>
    <n v="75"/>
    <n v="1.5"/>
    <n v="0"/>
  </r>
  <r>
    <n v="617"/>
    <n v="26"/>
    <n v="8"/>
    <n v="2023"/>
    <d v="2023-08-26T00:00:00"/>
    <s v="CUST617"/>
    <x v="1"/>
    <n v="34"/>
    <x v="1"/>
    <x v="2"/>
    <n v="1"/>
    <n v="30"/>
    <n v="30"/>
    <n v="0.6"/>
    <n v="0"/>
  </r>
  <r>
    <n v="624"/>
    <n v="26"/>
    <n v="8"/>
    <n v="2023"/>
    <d v="2023-08-26T00:00:00"/>
    <s v="CUST624"/>
    <x v="0"/>
    <n v="34"/>
    <x v="1"/>
    <x v="1"/>
    <n v="3"/>
    <n v="300"/>
    <n v="900"/>
    <n v="18"/>
    <n v="0"/>
  </r>
  <r>
    <n v="825"/>
    <n v="26"/>
    <n v="8"/>
    <n v="2023"/>
    <d v="2023-08-26T00:00:00"/>
    <s v="CUST825"/>
    <x v="0"/>
    <n v="46"/>
    <x v="1"/>
    <x v="1"/>
    <n v="1"/>
    <n v="25"/>
    <n v="25"/>
    <n v="0.5"/>
    <n v="0"/>
  </r>
  <r>
    <n v="568"/>
    <n v="27"/>
    <n v="8"/>
    <n v="2023"/>
    <d v="2023-08-27T00:00:00"/>
    <s v="CUST568"/>
    <x v="0"/>
    <n v="51"/>
    <x v="2"/>
    <x v="2"/>
    <n v="1"/>
    <n v="300"/>
    <n v="300"/>
    <n v="6"/>
    <n v="0"/>
  </r>
  <r>
    <n v="671"/>
    <n v="27"/>
    <n v="8"/>
    <n v="2023"/>
    <d v="2023-08-27T00:00:00"/>
    <s v="CUST671"/>
    <x v="1"/>
    <n v="62"/>
    <x v="2"/>
    <x v="2"/>
    <n v="3"/>
    <n v="50"/>
    <n v="150"/>
    <n v="3"/>
    <n v="0"/>
  </r>
  <r>
    <n v="756"/>
    <n v="27"/>
    <n v="8"/>
    <n v="2023"/>
    <d v="2023-08-27T00:00:00"/>
    <s v="CUST756"/>
    <x v="0"/>
    <n v="62"/>
    <x v="2"/>
    <x v="2"/>
    <n v="4"/>
    <n v="300"/>
    <n v="1200"/>
    <n v="24"/>
    <n v="0"/>
  </r>
  <r>
    <n v="690"/>
    <n v="5"/>
    <n v="11"/>
    <n v="2023"/>
    <d v="2023-11-05T00:00:00"/>
    <s v="CUST690"/>
    <x v="0"/>
    <n v="52"/>
    <x v="2"/>
    <x v="0"/>
    <n v="3"/>
    <n v="300"/>
    <n v="900"/>
    <n v="18"/>
    <n v="0"/>
  </r>
  <r>
    <n v="691"/>
    <n v="23"/>
    <n v="4"/>
    <n v="2023"/>
    <d v="2023-04-23T00:00:00"/>
    <s v="CUST691"/>
    <x v="0"/>
    <n v="51"/>
    <x v="2"/>
    <x v="0"/>
    <n v="3"/>
    <n v="30"/>
    <n v="90"/>
    <n v="1.8"/>
    <n v="0"/>
  </r>
  <r>
    <n v="644"/>
    <n v="6"/>
    <n v="9"/>
    <n v="2023"/>
    <d v="2023-09-06T00:00:00"/>
    <s v="CUST644"/>
    <x v="1"/>
    <n v="23"/>
    <x v="0"/>
    <x v="1"/>
    <n v="3"/>
    <n v="25"/>
    <n v="75"/>
    <n v="1.5"/>
    <n v="0"/>
  </r>
  <r>
    <n v="692"/>
    <n v="7"/>
    <n v="9"/>
    <n v="2023"/>
    <d v="2023-09-07T00:00:00"/>
    <s v="CUST692"/>
    <x v="0"/>
    <n v="64"/>
    <x v="2"/>
    <x v="0"/>
    <n v="2"/>
    <n v="50"/>
    <n v="100"/>
    <n v="2"/>
    <n v="0"/>
  </r>
  <r>
    <n v="696"/>
    <n v="6"/>
    <n v="9"/>
    <n v="2023"/>
    <d v="2023-09-06T00:00:00"/>
    <s v="CUST696"/>
    <x v="0"/>
    <n v="50"/>
    <x v="2"/>
    <x v="0"/>
    <n v="4"/>
    <n v="50"/>
    <n v="200"/>
    <n v="4"/>
    <n v="0"/>
  </r>
  <r>
    <n v="733"/>
    <n v="29"/>
    <n v="8"/>
    <n v="2023"/>
    <d v="2023-08-29T00:00:00"/>
    <s v="CUST733"/>
    <x v="1"/>
    <n v="34"/>
    <x v="1"/>
    <x v="1"/>
    <n v="1"/>
    <n v="30"/>
    <n v="30"/>
    <n v="0.6"/>
    <n v="0"/>
  </r>
  <r>
    <n v="924"/>
    <n v="29"/>
    <n v="8"/>
    <n v="2023"/>
    <d v="2023-08-29T00:00:00"/>
    <s v="CUST924"/>
    <x v="1"/>
    <n v="55"/>
    <x v="2"/>
    <x v="1"/>
    <n v="2"/>
    <n v="50"/>
    <n v="100"/>
    <n v="2"/>
    <n v="0"/>
  </r>
  <r>
    <n v="697"/>
    <n v="15"/>
    <n v="1"/>
    <n v="2023"/>
    <d v="2023-01-15T00:00:00"/>
    <s v="CUST697"/>
    <x v="1"/>
    <n v="53"/>
    <x v="2"/>
    <x v="0"/>
    <n v="1"/>
    <n v="500"/>
    <n v="500"/>
    <n v="10"/>
    <n v="0"/>
  </r>
  <r>
    <n v="251"/>
    <n v="31"/>
    <n v="8"/>
    <n v="2023"/>
    <d v="2023-08-31T00:00:00"/>
    <s v="CUST251"/>
    <x v="0"/>
    <n v="57"/>
    <x v="2"/>
    <x v="1"/>
    <n v="4"/>
    <n v="50"/>
    <n v="200"/>
    <n v="4"/>
    <n v="0"/>
  </r>
  <r>
    <n v="699"/>
    <n v="22"/>
    <n v="6"/>
    <n v="2023"/>
    <d v="2023-06-22T00:00:00"/>
    <s v="CUST699"/>
    <x v="0"/>
    <n v="37"/>
    <x v="1"/>
    <x v="0"/>
    <n v="4"/>
    <n v="30"/>
    <n v="120"/>
    <n v="2.4"/>
    <n v="0"/>
  </r>
  <r>
    <n v="574"/>
    <n v="31"/>
    <n v="8"/>
    <n v="2023"/>
    <d v="2023-08-31T00:00:00"/>
    <s v="CUST574"/>
    <x v="0"/>
    <n v="63"/>
    <x v="2"/>
    <x v="2"/>
    <n v="2"/>
    <n v="25"/>
    <n v="50"/>
    <n v="1"/>
    <n v="0"/>
  </r>
  <r>
    <n v="702"/>
    <n v="27"/>
    <n v="7"/>
    <n v="2023"/>
    <d v="2023-07-27T00:00:00"/>
    <s v="CUST702"/>
    <x v="0"/>
    <n v="60"/>
    <x v="2"/>
    <x v="0"/>
    <n v="2"/>
    <n v="300"/>
    <n v="600"/>
    <n v="12"/>
    <n v="0"/>
  </r>
  <r>
    <n v="871"/>
    <n v="31"/>
    <n v="8"/>
    <n v="2023"/>
    <d v="2023-08-31T00:00:00"/>
    <s v="CUST871"/>
    <x v="1"/>
    <n v="62"/>
    <x v="2"/>
    <x v="1"/>
    <n v="2"/>
    <n v="30"/>
    <n v="60"/>
    <n v="1.2"/>
    <n v="0"/>
  </r>
  <r>
    <n v="200"/>
    <n v="1"/>
    <n v="9"/>
    <n v="2023"/>
    <d v="2023-09-01T00:00:00"/>
    <s v="CUST200"/>
    <x v="1"/>
    <n v="27"/>
    <x v="0"/>
    <x v="1"/>
    <n v="3"/>
    <n v="50"/>
    <n v="150"/>
    <n v="3"/>
    <n v="0"/>
  </r>
  <r>
    <n v="663"/>
    <n v="20"/>
    <n v="3"/>
    <n v="2023"/>
    <d v="2023-03-20T00:00:00"/>
    <s v="CUST663"/>
    <x v="1"/>
    <n v="23"/>
    <x v="0"/>
    <x v="0"/>
    <n v="4"/>
    <n v="300"/>
    <n v="1200"/>
    <n v="24"/>
    <n v="0"/>
  </r>
  <r>
    <n v="704"/>
    <n v="28"/>
    <n v="8"/>
    <n v="2023"/>
    <d v="2023-08-28T00:00:00"/>
    <s v="CUST704"/>
    <x v="0"/>
    <n v="62"/>
    <x v="2"/>
    <x v="0"/>
    <n v="3"/>
    <n v="30"/>
    <n v="90"/>
    <n v="1.8"/>
    <n v="0"/>
  </r>
  <r>
    <n v="855"/>
    <n v="1"/>
    <n v="9"/>
    <n v="2023"/>
    <d v="2023-09-01T00:00:00"/>
    <s v="CUST855"/>
    <x v="1"/>
    <n v="54"/>
    <x v="2"/>
    <x v="1"/>
    <n v="1"/>
    <n v="25"/>
    <n v="25"/>
    <n v="0.5"/>
    <n v="0"/>
  </r>
  <r>
    <n v="325"/>
    <n v="2"/>
    <n v="9"/>
    <n v="2023"/>
    <d v="2023-09-02T00:00:00"/>
    <s v="CUST325"/>
    <x v="0"/>
    <n v="52"/>
    <x v="2"/>
    <x v="2"/>
    <n v="2"/>
    <n v="25"/>
    <n v="50"/>
    <n v="1"/>
    <n v="0"/>
  </r>
  <r>
    <n v="682"/>
    <n v="2"/>
    <n v="9"/>
    <n v="2023"/>
    <d v="2023-09-02T00:00:00"/>
    <s v="CUST682"/>
    <x v="1"/>
    <n v="46"/>
    <x v="1"/>
    <x v="1"/>
    <n v="4"/>
    <n v="300"/>
    <n v="1200"/>
    <n v="24"/>
    <n v="0"/>
  </r>
  <r>
    <n v="931"/>
    <n v="2"/>
    <n v="9"/>
    <n v="2023"/>
    <d v="2023-09-02T00:00:00"/>
    <s v="CUST931"/>
    <x v="1"/>
    <n v="30"/>
    <x v="1"/>
    <x v="1"/>
    <n v="4"/>
    <n v="30"/>
    <n v="120"/>
    <n v="2.4"/>
    <n v="0"/>
  </r>
  <r>
    <n v="925"/>
    <n v="3"/>
    <n v="9"/>
    <n v="2023"/>
    <d v="2023-09-03T00:00:00"/>
    <s v="CUST925"/>
    <x v="1"/>
    <n v="25"/>
    <x v="0"/>
    <x v="2"/>
    <n v="1"/>
    <n v="300"/>
    <n v="300"/>
    <n v="6"/>
    <n v="0"/>
  </r>
  <r>
    <n v="297"/>
    <n v="4"/>
    <n v="9"/>
    <n v="2023"/>
    <d v="2023-09-04T00:00:00"/>
    <s v="CUST297"/>
    <x v="0"/>
    <n v="40"/>
    <x v="1"/>
    <x v="2"/>
    <n v="2"/>
    <n v="500"/>
    <n v="1000"/>
    <n v="20"/>
    <n v="0"/>
  </r>
  <r>
    <n v="707"/>
    <n v="1"/>
    <n v="10"/>
    <n v="2023"/>
    <d v="2023-10-01T00:00:00"/>
    <s v="CUST707"/>
    <x v="0"/>
    <n v="26"/>
    <x v="0"/>
    <x v="0"/>
    <n v="1"/>
    <n v="500"/>
    <n v="500"/>
    <n v="10"/>
    <n v="0"/>
  </r>
  <r>
    <n v="894"/>
    <n v="5"/>
    <n v="9"/>
    <n v="2023"/>
    <d v="2023-09-05T00:00:00"/>
    <s v="CUST894"/>
    <x v="1"/>
    <n v="52"/>
    <x v="2"/>
    <x v="2"/>
    <n v="1"/>
    <n v="30"/>
    <n v="30"/>
    <n v="0.6"/>
    <n v="0"/>
  </r>
  <r>
    <n v="669"/>
    <n v="19"/>
    <n v="6"/>
    <n v="2023"/>
    <d v="2023-06-19T00:00:00"/>
    <s v="CUST669"/>
    <x v="1"/>
    <n v="24"/>
    <x v="0"/>
    <x v="1"/>
    <n v="4"/>
    <n v="300"/>
    <n v="1200"/>
    <n v="24"/>
    <n v="0"/>
  </r>
  <r>
    <n v="716"/>
    <n v="8"/>
    <n v="8"/>
    <n v="2023"/>
    <d v="2023-08-08T00:00:00"/>
    <s v="CUST716"/>
    <x v="0"/>
    <n v="60"/>
    <x v="2"/>
    <x v="0"/>
    <n v="4"/>
    <n v="300"/>
    <n v="1200"/>
    <n v="24"/>
    <n v="0"/>
  </r>
  <r>
    <n v="717"/>
    <n v="11"/>
    <n v="3"/>
    <n v="2023"/>
    <d v="2023-03-11T00:00:00"/>
    <s v="CUST717"/>
    <x v="1"/>
    <n v="57"/>
    <x v="2"/>
    <x v="0"/>
    <n v="1"/>
    <n v="500"/>
    <n v="500"/>
    <n v="10"/>
    <n v="0"/>
  </r>
  <r>
    <n v="677"/>
    <n v="27"/>
    <n v="10"/>
    <n v="2023"/>
    <d v="2023-10-27T00:00:00"/>
    <s v="CUST677"/>
    <x v="0"/>
    <n v="19"/>
    <x v="0"/>
    <x v="1"/>
    <n v="3"/>
    <n v="500"/>
    <n v="1500"/>
    <n v="30"/>
    <n v="0"/>
  </r>
  <r>
    <n v="719"/>
    <n v="4"/>
    <n v="4"/>
    <n v="2023"/>
    <d v="2023-04-04T00:00:00"/>
    <s v="CUST719"/>
    <x v="0"/>
    <n v="42"/>
    <x v="1"/>
    <x v="0"/>
    <n v="2"/>
    <n v="30"/>
    <n v="60"/>
    <n v="1.2"/>
    <n v="0"/>
  </r>
  <r>
    <n v="721"/>
    <n v="14"/>
    <n v="5"/>
    <n v="2023"/>
    <d v="2023-05-14T00:00:00"/>
    <s v="CUST721"/>
    <x v="0"/>
    <n v="52"/>
    <x v="2"/>
    <x v="0"/>
    <n v="1"/>
    <n v="500"/>
    <n v="500"/>
    <n v="10"/>
    <n v="0"/>
  </r>
  <r>
    <n v="724"/>
    <n v="19"/>
    <n v="4"/>
    <n v="2023"/>
    <d v="2023-04-19T00:00:00"/>
    <s v="CUST724"/>
    <x v="1"/>
    <n v="61"/>
    <x v="2"/>
    <x v="0"/>
    <n v="3"/>
    <n v="50"/>
    <n v="150"/>
    <n v="3"/>
    <n v="0"/>
  </r>
  <r>
    <n v="726"/>
    <n v="17"/>
    <n v="6"/>
    <n v="2023"/>
    <d v="2023-06-17T00:00:00"/>
    <s v="CUST726"/>
    <x v="1"/>
    <n v="47"/>
    <x v="1"/>
    <x v="0"/>
    <n v="4"/>
    <n v="300"/>
    <n v="1200"/>
    <n v="24"/>
    <n v="0"/>
  </r>
  <r>
    <n v="183"/>
    <n v="8"/>
    <n v="9"/>
    <n v="2023"/>
    <d v="2023-09-08T00:00:00"/>
    <s v="CUST183"/>
    <x v="0"/>
    <n v="43"/>
    <x v="1"/>
    <x v="1"/>
    <n v="3"/>
    <n v="300"/>
    <n v="900"/>
    <n v="18"/>
    <n v="0"/>
  </r>
  <r>
    <n v="413"/>
    <n v="8"/>
    <n v="9"/>
    <n v="2023"/>
    <d v="2023-09-08T00:00:00"/>
    <s v="CUST413"/>
    <x v="0"/>
    <n v="44"/>
    <x v="1"/>
    <x v="1"/>
    <n v="3"/>
    <n v="25"/>
    <n v="75"/>
    <n v="1.5"/>
    <n v="0"/>
  </r>
  <r>
    <n v="799"/>
    <n v="8"/>
    <n v="9"/>
    <n v="2023"/>
    <d v="2023-09-08T00:00:00"/>
    <s v="CUST799"/>
    <x v="1"/>
    <n v="56"/>
    <x v="2"/>
    <x v="2"/>
    <n v="2"/>
    <n v="50"/>
    <n v="100"/>
    <n v="2"/>
    <n v="0"/>
  </r>
  <r>
    <n v="851"/>
    <n v="8"/>
    <n v="9"/>
    <n v="2023"/>
    <d v="2023-09-08T00:00:00"/>
    <s v="CUST851"/>
    <x v="1"/>
    <n v="32"/>
    <x v="1"/>
    <x v="2"/>
    <n v="2"/>
    <n v="25"/>
    <n v="50"/>
    <n v="1"/>
    <n v="0"/>
  </r>
  <r>
    <n v="679"/>
    <n v="11"/>
    <n v="1"/>
    <n v="2023"/>
    <d v="2023-01-11T00:00:00"/>
    <s v="CUST679"/>
    <x v="0"/>
    <n v="18"/>
    <x v="0"/>
    <x v="1"/>
    <n v="3"/>
    <n v="30"/>
    <n v="90"/>
    <n v="1.8"/>
    <n v="0"/>
  </r>
  <r>
    <n v="695"/>
    <n v="12"/>
    <n v="8"/>
    <n v="2023"/>
    <d v="2023-08-12T00:00:00"/>
    <s v="CUST695"/>
    <x v="0"/>
    <n v="22"/>
    <x v="0"/>
    <x v="2"/>
    <n v="3"/>
    <n v="50"/>
    <n v="150"/>
    <n v="3"/>
    <n v="0"/>
  </r>
  <r>
    <n v="935"/>
    <n v="9"/>
    <n v="9"/>
    <n v="2023"/>
    <d v="2023-09-09T00:00:00"/>
    <s v="CUST935"/>
    <x v="0"/>
    <n v="34"/>
    <x v="1"/>
    <x v="1"/>
    <n v="1"/>
    <n v="50"/>
    <n v="50"/>
    <n v="1"/>
    <n v="0"/>
  </r>
  <r>
    <n v="132"/>
    <n v="10"/>
    <n v="9"/>
    <n v="2023"/>
    <d v="2023-09-10T00:00:00"/>
    <s v="CUST132"/>
    <x v="1"/>
    <n v="42"/>
    <x v="1"/>
    <x v="2"/>
    <n v="4"/>
    <n v="50"/>
    <n v="200"/>
    <n v="4"/>
    <n v="0"/>
  </r>
  <r>
    <n v="604"/>
    <n v="11"/>
    <n v="9"/>
    <n v="2023"/>
    <d v="2023-09-11T00:00:00"/>
    <s v="CUST604"/>
    <x v="0"/>
    <n v="29"/>
    <x v="0"/>
    <x v="2"/>
    <n v="4"/>
    <n v="50"/>
    <n v="200"/>
    <n v="4"/>
    <n v="0"/>
  </r>
  <r>
    <n v="832"/>
    <n v="11"/>
    <n v="9"/>
    <n v="2023"/>
    <d v="2023-09-11T00:00:00"/>
    <s v="CUST832"/>
    <x v="1"/>
    <n v="47"/>
    <x v="1"/>
    <x v="1"/>
    <n v="4"/>
    <n v="500"/>
    <n v="2000"/>
    <n v="40"/>
    <n v="0"/>
  </r>
  <r>
    <n v="113"/>
    <n v="13"/>
    <n v="9"/>
    <n v="2023"/>
    <d v="2023-09-13T00:00:00"/>
    <s v="CUST113"/>
    <x v="0"/>
    <n v="41"/>
    <x v="1"/>
    <x v="2"/>
    <n v="2"/>
    <n v="25"/>
    <n v="50"/>
    <n v="1"/>
    <n v="0"/>
  </r>
  <r>
    <n v="729"/>
    <n v="23"/>
    <n v="5"/>
    <n v="2023"/>
    <d v="2023-05-23T00:00:00"/>
    <s v="CUST729"/>
    <x v="1"/>
    <n v="29"/>
    <x v="0"/>
    <x v="0"/>
    <n v="4"/>
    <n v="300"/>
    <n v="1200"/>
    <n v="24"/>
    <n v="0"/>
  </r>
  <r>
    <n v="730"/>
    <n v="4"/>
    <n v="8"/>
    <n v="2023"/>
    <d v="2023-08-04T00:00:00"/>
    <s v="CUST730"/>
    <x v="0"/>
    <n v="36"/>
    <x v="1"/>
    <x v="0"/>
    <n v="2"/>
    <n v="25"/>
    <n v="50"/>
    <n v="1"/>
    <n v="0"/>
  </r>
  <r>
    <n v="731"/>
    <n v="10"/>
    <n v="5"/>
    <n v="2023"/>
    <d v="2023-05-10T00:00:00"/>
    <s v="CUST731"/>
    <x v="1"/>
    <n v="54"/>
    <x v="2"/>
    <x v="0"/>
    <n v="4"/>
    <n v="500"/>
    <n v="2000"/>
    <n v="40"/>
    <n v="0"/>
  </r>
  <r>
    <n v="709"/>
    <n v="21"/>
    <n v="7"/>
    <n v="2023"/>
    <d v="2023-07-21T00:00:00"/>
    <s v="CUST709"/>
    <x v="0"/>
    <n v="19"/>
    <x v="0"/>
    <x v="2"/>
    <n v="2"/>
    <n v="500"/>
    <n v="1000"/>
    <n v="20"/>
    <n v="0"/>
  </r>
  <r>
    <n v="632"/>
    <n v="16"/>
    <n v="9"/>
    <n v="2023"/>
    <d v="2023-09-16T00:00:00"/>
    <s v="CUST632"/>
    <x v="0"/>
    <n v="26"/>
    <x v="0"/>
    <x v="2"/>
    <n v="4"/>
    <n v="25"/>
    <n v="100"/>
    <n v="2"/>
    <n v="0"/>
  </r>
  <r>
    <n v="734"/>
    <n v="10"/>
    <n v="1"/>
    <n v="2023"/>
    <d v="2023-01-10T00:00:00"/>
    <s v="CUST734"/>
    <x v="0"/>
    <n v="27"/>
    <x v="0"/>
    <x v="0"/>
    <n v="1"/>
    <n v="30"/>
    <n v="30"/>
    <n v="0.6"/>
    <n v="0"/>
  </r>
  <r>
    <n v="172"/>
    <n v="17"/>
    <n v="9"/>
    <n v="2023"/>
    <d v="2023-09-17T00:00:00"/>
    <s v="CUST172"/>
    <x v="1"/>
    <n v="32"/>
    <x v="1"/>
    <x v="1"/>
    <n v="2"/>
    <n v="25"/>
    <n v="50"/>
    <n v="1"/>
    <n v="0"/>
  </r>
  <r>
    <n v="735"/>
    <n v="4"/>
    <n v="10"/>
    <n v="2023"/>
    <d v="2023-10-04T00:00:00"/>
    <s v="CUST735"/>
    <x v="0"/>
    <n v="64"/>
    <x v="2"/>
    <x v="0"/>
    <n v="4"/>
    <n v="500"/>
    <n v="2000"/>
    <n v="40"/>
    <n v="0"/>
  </r>
  <r>
    <n v="736"/>
    <n v="27"/>
    <n v="1"/>
    <n v="2023"/>
    <d v="2023-01-27T00:00:00"/>
    <s v="CUST736"/>
    <x v="1"/>
    <n v="29"/>
    <x v="0"/>
    <x v="0"/>
    <n v="4"/>
    <n v="25"/>
    <n v="100"/>
    <n v="2"/>
    <n v="0"/>
  </r>
  <r>
    <n v="794"/>
    <n v="17"/>
    <n v="9"/>
    <n v="2023"/>
    <d v="2023-09-17T00:00:00"/>
    <s v="CUST794"/>
    <x v="0"/>
    <n v="60"/>
    <x v="2"/>
    <x v="1"/>
    <n v="1"/>
    <n v="300"/>
    <n v="300"/>
    <n v="6"/>
    <n v="0"/>
  </r>
  <r>
    <n v="714"/>
    <n v="12"/>
    <n v="2"/>
    <n v="2023"/>
    <d v="2023-02-12T00:00:00"/>
    <s v="CUST714"/>
    <x v="0"/>
    <n v="18"/>
    <x v="0"/>
    <x v="0"/>
    <n v="1"/>
    <n v="500"/>
    <n v="500"/>
    <n v="10"/>
    <n v="0"/>
  </r>
  <r>
    <n v="330"/>
    <n v="18"/>
    <n v="9"/>
    <n v="2023"/>
    <d v="2023-09-18T00:00:00"/>
    <s v="CUST330"/>
    <x v="0"/>
    <n v="25"/>
    <x v="0"/>
    <x v="1"/>
    <n v="4"/>
    <n v="50"/>
    <n v="200"/>
    <n v="4"/>
    <n v="0"/>
  </r>
  <r>
    <n v="494"/>
    <n v="18"/>
    <n v="9"/>
    <n v="2023"/>
    <d v="2023-09-18T00:00:00"/>
    <s v="CUST494"/>
    <x v="0"/>
    <n v="42"/>
    <x v="1"/>
    <x v="1"/>
    <n v="4"/>
    <n v="50"/>
    <n v="200"/>
    <n v="4"/>
    <n v="0"/>
  </r>
  <r>
    <n v="722"/>
    <n v="14"/>
    <n v="7"/>
    <n v="2023"/>
    <d v="2023-07-14T00:00:00"/>
    <s v="CUST722"/>
    <x v="1"/>
    <n v="20"/>
    <x v="0"/>
    <x v="1"/>
    <n v="3"/>
    <n v="300"/>
    <n v="900"/>
    <n v="18"/>
    <n v="0"/>
  </r>
  <r>
    <n v="573"/>
    <n v="19"/>
    <n v="9"/>
    <n v="2023"/>
    <d v="2023-09-19T00:00:00"/>
    <s v="CUST573"/>
    <x v="1"/>
    <n v="49"/>
    <x v="1"/>
    <x v="1"/>
    <n v="2"/>
    <n v="30"/>
    <n v="60"/>
    <n v="1.2"/>
    <n v="0"/>
  </r>
  <r>
    <n v="747"/>
    <n v="15"/>
    <n v="11"/>
    <n v="2023"/>
    <d v="2023-11-15T00:00:00"/>
    <s v="CUST747"/>
    <x v="1"/>
    <n v="23"/>
    <x v="0"/>
    <x v="1"/>
    <n v="1"/>
    <n v="30"/>
    <n v="30"/>
    <n v="0.6"/>
    <n v="0"/>
  </r>
  <r>
    <n v="579"/>
    <n v="21"/>
    <n v="9"/>
    <n v="2023"/>
    <d v="2023-09-21T00:00:00"/>
    <s v="CUST579"/>
    <x v="0"/>
    <n v="38"/>
    <x v="1"/>
    <x v="2"/>
    <n v="1"/>
    <n v="30"/>
    <n v="30"/>
    <n v="0.6"/>
    <n v="0"/>
  </r>
  <r>
    <n v="218"/>
    <n v="22"/>
    <n v="9"/>
    <n v="2023"/>
    <d v="2023-09-22T00:00:00"/>
    <s v="CUST218"/>
    <x v="1"/>
    <n v="64"/>
    <x v="2"/>
    <x v="1"/>
    <n v="3"/>
    <n v="30"/>
    <n v="90"/>
    <n v="1.8"/>
    <n v="0"/>
  </r>
  <r>
    <n v="846"/>
    <n v="22"/>
    <n v="9"/>
    <n v="2023"/>
    <d v="2023-09-22T00:00:00"/>
    <s v="CUST846"/>
    <x v="1"/>
    <n v="42"/>
    <x v="1"/>
    <x v="1"/>
    <n v="1"/>
    <n v="50"/>
    <n v="50"/>
    <n v="1"/>
    <n v="0"/>
  </r>
  <r>
    <n v="737"/>
    <n v="29"/>
    <n v="6"/>
    <n v="2023"/>
    <d v="2023-06-29T00:00:00"/>
    <s v="CUST737"/>
    <x v="0"/>
    <n v="33"/>
    <x v="1"/>
    <x v="0"/>
    <n v="1"/>
    <n v="50"/>
    <n v="50"/>
    <n v="1"/>
    <n v="0"/>
  </r>
  <r>
    <n v="523"/>
    <n v="24"/>
    <n v="9"/>
    <n v="2023"/>
    <d v="2023-09-24T00:00:00"/>
    <s v="CUST523"/>
    <x v="0"/>
    <n v="62"/>
    <x v="2"/>
    <x v="2"/>
    <n v="1"/>
    <n v="300"/>
    <n v="300"/>
    <n v="6"/>
    <n v="0"/>
  </r>
  <r>
    <n v="643"/>
    <n v="24"/>
    <n v="9"/>
    <n v="2023"/>
    <d v="2023-09-24T00:00:00"/>
    <s v="CUST643"/>
    <x v="0"/>
    <n v="28"/>
    <x v="0"/>
    <x v="2"/>
    <n v="3"/>
    <n v="30"/>
    <n v="90"/>
    <n v="1.8"/>
    <n v="0"/>
  </r>
  <r>
    <n v="738"/>
    <n v="25"/>
    <n v="4"/>
    <n v="2023"/>
    <d v="2023-04-25T00:00:00"/>
    <s v="CUST738"/>
    <x v="1"/>
    <n v="41"/>
    <x v="1"/>
    <x v="0"/>
    <n v="2"/>
    <n v="50"/>
    <n v="100"/>
    <n v="2"/>
    <n v="0"/>
  </r>
  <r>
    <n v="809"/>
    <n v="25"/>
    <n v="9"/>
    <n v="2023"/>
    <d v="2023-09-25T00:00:00"/>
    <s v="CUST809"/>
    <x v="0"/>
    <n v="62"/>
    <x v="2"/>
    <x v="1"/>
    <n v="2"/>
    <n v="50"/>
    <n v="100"/>
    <n v="2"/>
    <n v="0"/>
  </r>
  <r>
    <n v="954"/>
    <n v="25"/>
    <n v="9"/>
    <n v="2023"/>
    <d v="2023-09-25T00:00:00"/>
    <s v="CUST954"/>
    <x v="0"/>
    <n v="50"/>
    <x v="2"/>
    <x v="2"/>
    <n v="3"/>
    <n v="300"/>
    <n v="900"/>
    <n v="18"/>
    <n v="0"/>
  </r>
  <r>
    <n v="897"/>
    <n v="26"/>
    <n v="9"/>
    <n v="2023"/>
    <d v="2023-09-26T00:00:00"/>
    <s v="CUST897"/>
    <x v="0"/>
    <n v="64"/>
    <x v="2"/>
    <x v="2"/>
    <n v="2"/>
    <n v="50"/>
    <n v="100"/>
    <n v="2"/>
    <n v="0"/>
  </r>
  <r>
    <n v="762"/>
    <n v="7"/>
    <n v="11"/>
    <n v="2023"/>
    <d v="2023-11-07T00:00:00"/>
    <s v="CUST762"/>
    <x v="0"/>
    <n v="24"/>
    <x v="0"/>
    <x v="2"/>
    <n v="2"/>
    <n v="25"/>
    <n v="50"/>
    <n v="1"/>
    <n v="0"/>
  </r>
  <r>
    <n v="204"/>
    <n v="28"/>
    <n v="9"/>
    <n v="2023"/>
    <d v="2023-09-28T00:00:00"/>
    <s v="CUST204"/>
    <x v="1"/>
    <n v="39"/>
    <x v="1"/>
    <x v="1"/>
    <n v="1"/>
    <n v="25"/>
    <n v="25"/>
    <n v="0.5"/>
    <n v="0"/>
  </r>
  <r>
    <n v="390"/>
    <n v="28"/>
    <n v="9"/>
    <n v="2023"/>
    <d v="2023-09-28T00:00:00"/>
    <s v="CUST390"/>
    <x v="1"/>
    <n v="39"/>
    <x v="1"/>
    <x v="2"/>
    <n v="2"/>
    <n v="50"/>
    <n v="100"/>
    <n v="2"/>
    <n v="0"/>
  </r>
  <r>
    <n v="179"/>
    <n v="29"/>
    <n v="9"/>
    <n v="2023"/>
    <d v="2023-09-29T00:00:00"/>
    <s v="CUST179"/>
    <x v="1"/>
    <n v="31"/>
    <x v="1"/>
    <x v="2"/>
    <n v="1"/>
    <n v="300"/>
    <n v="300"/>
    <n v="6"/>
    <n v="0"/>
  </r>
  <r>
    <n v="327"/>
    <n v="29"/>
    <n v="9"/>
    <n v="2023"/>
    <d v="2023-09-29T00:00:00"/>
    <s v="CUST327"/>
    <x v="1"/>
    <n v="57"/>
    <x v="2"/>
    <x v="2"/>
    <n v="3"/>
    <n v="50"/>
    <n v="150"/>
    <n v="3"/>
    <n v="0"/>
  </r>
  <r>
    <n v="741"/>
    <n v="30"/>
    <n v="11"/>
    <n v="2023"/>
    <d v="2023-11-30T00:00:00"/>
    <s v="CUST741"/>
    <x v="1"/>
    <n v="48"/>
    <x v="1"/>
    <x v="0"/>
    <n v="1"/>
    <n v="300"/>
    <n v="300"/>
    <n v="6"/>
    <n v="0"/>
  </r>
  <r>
    <n v="873"/>
    <n v="29"/>
    <n v="9"/>
    <n v="2023"/>
    <d v="2023-09-29T00:00:00"/>
    <s v="CUST873"/>
    <x v="0"/>
    <n v="27"/>
    <x v="0"/>
    <x v="2"/>
    <n v="4"/>
    <n v="25"/>
    <n v="100"/>
    <n v="2"/>
    <n v="0"/>
  </r>
  <r>
    <n v="746"/>
    <n v="11"/>
    <n v="1"/>
    <n v="2023"/>
    <d v="2023-01-11T00:00:00"/>
    <s v="CUST746"/>
    <x v="0"/>
    <n v="33"/>
    <x v="1"/>
    <x v="0"/>
    <n v="3"/>
    <n v="30"/>
    <n v="90"/>
    <n v="1.8"/>
    <n v="0"/>
  </r>
  <r>
    <n v="748"/>
    <n v="20"/>
    <n v="3"/>
    <n v="2023"/>
    <d v="2023-03-20T00:00:00"/>
    <s v="CUST748"/>
    <x v="1"/>
    <n v="25"/>
    <x v="0"/>
    <x v="0"/>
    <n v="3"/>
    <n v="50"/>
    <n v="150"/>
    <n v="3"/>
    <n v="0"/>
  </r>
  <r>
    <n v="89"/>
    <n v="1"/>
    <n v="10"/>
    <n v="2023"/>
    <d v="2023-10-01T00:00:00"/>
    <s v="CUST089"/>
    <x v="0"/>
    <n v="55"/>
    <x v="2"/>
    <x v="2"/>
    <n v="4"/>
    <n v="500"/>
    <n v="2000"/>
    <n v="40"/>
    <n v="0"/>
  </r>
  <r>
    <n v="750"/>
    <n v="6"/>
    <n v="3"/>
    <n v="2023"/>
    <d v="2023-03-06T00:00:00"/>
    <s v="CUST750"/>
    <x v="0"/>
    <n v="35"/>
    <x v="1"/>
    <x v="0"/>
    <n v="3"/>
    <n v="25"/>
    <n v="75"/>
    <n v="1.5"/>
    <n v="0"/>
  </r>
  <r>
    <n v="909"/>
    <n v="1"/>
    <n v="10"/>
    <n v="2023"/>
    <d v="2023-10-01T00:00:00"/>
    <s v="CUST909"/>
    <x v="1"/>
    <n v="26"/>
    <x v="0"/>
    <x v="2"/>
    <n v="1"/>
    <n v="300"/>
    <n v="300"/>
    <n v="6"/>
    <n v="0"/>
  </r>
  <r>
    <n v="51"/>
    <n v="2"/>
    <n v="10"/>
    <n v="2023"/>
    <d v="2023-10-02T00:00:00"/>
    <s v="CUST051"/>
    <x v="1"/>
    <n v="27"/>
    <x v="0"/>
    <x v="1"/>
    <n v="3"/>
    <n v="25"/>
    <n v="75"/>
    <n v="1.5"/>
    <n v="0"/>
  </r>
  <r>
    <n v="154"/>
    <n v="2"/>
    <n v="10"/>
    <n v="2023"/>
    <d v="2023-10-02T00:00:00"/>
    <s v="CUST154"/>
    <x v="1"/>
    <n v="51"/>
    <x v="2"/>
    <x v="2"/>
    <n v="3"/>
    <n v="300"/>
    <n v="900"/>
    <n v="18"/>
    <n v="0"/>
  </r>
  <r>
    <n v="768"/>
    <n v="14"/>
    <n v="1"/>
    <n v="2023"/>
    <d v="2023-01-14T00:00:00"/>
    <s v="CUST768"/>
    <x v="0"/>
    <n v="24"/>
    <x v="0"/>
    <x v="1"/>
    <n v="3"/>
    <n v="25"/>
    <n v="75"/>
    <n v="1.5"/>
    <n v="0"/>
  </r>
  <r>
    <n v="751"/>
    <n v="31"/>
    <n v="8"/>
    <n v="2023"/>
    <d v="2023-08-31T00:00:00"/>
    <s v="CUST751"/>
    <x v="0"/>
    <n v="42"/>
    <x v="1"/>
    <x v="0"/>
    <n v="2"/>
    <n v="25"/>
    <n v="50"/>
    <n v="1"/>
    <n v="0"/>
  </r>
  <r>
    <n v="889"/>
    <n v="2"/>
    <n v="10"/>
    <n v="2023"/>
    <d v="2023-10-02T00:00:00"/>
    <s v="CUST889"/>
    <x v="0"/>
    <n v="35"/>
    <x v="1"/>
    <x v="2"/>
    <n v="1"/>
    <n v="50"/>
    <n v="50"/>
    <n v="1"/>
    <n v="0"/>
  </r>
  <r>
    <n v="122"/>
    <n v="3"/>
    <n v="10"/>
    <n v="2023"/>
    <d v="2023-10-03T00:00:00"/>
    <s v="CUST122"/>
    <x v="1"/>
    <n v="64"/>
    <x v="2"/>
    <x v="2"/>
    <n v="4"/>
    <n v="30"/>
    <n v="120"/>
    <n v="2.4"/>
    <n v="0"/>
  </r>
  <r>
    <n v="373"/>
    <n v="3"/>
    <n v="10"/>
    <n v="2023"/>
    <d v="2023-10-03T00:00:00"/>
    <s v="CUST373"/>
    <x v="0"/>
    <n v="25"/>
    <x v="0"/>
    <x v="1"/>
    <n v="2"/>
    <n v="300"/>
    <n v="600"/>
    <n v="12"/>
    <n v="0"/>
  </r>
  <r>
    <n v="524"/>
    <n v="3"/>
    <n v="10"/>
    <n v="2023"/>
    <d v="2023-10-03T00:00:00"/>
    <s v="CUST524"/>
    <x v="1"/>
    <n v="46"/>
    <x v="1"/>
    <x v="1"/>
    <n v="4"/>
    <n v="300"/>
    <n v="1200"/>
    <n v="24"/>
    <n v="0"/>
  </r>
  <r>
    <n v="752"/>
    <n v="9"/>
    <n v="12"/>
    <n v="2023"/>
    <d v="2023-12-09T00:00:00"/>
    <s v="CUST752"/>
    <x v="1"/>
    <n v="29"/>
    <x v="0"/>
    <x v="0"/>
    <n v="2"/>
    <n v="50"/>
    <n v="100"/>
    <n v="2"/>
    <n v="0"/>
  </r>
  <r>
    <n v="813"/>
    <n v="3"/>
    <n v="10"/>
    <n v="2023"/>
    <d v="2023-10-03T00:00:00"/>
    <s v="CUST813"/>
    <x v="1"/>
    <n v="52"/>
    <x v="2"/>
    <x v="2"/>
    <n v="3"/>
    <n v="50"/>
    <n v="150"/>
    <n v="3"/>
    <n v="0"/>
  </r>
  <r>
    <n v="753"/>
    <n v="28"/>
    <n v="2"/>
    <n v="2023"/>
    <d v="2023-02-28T00:00:00"/>
    <s v="CUST753"/>
    <x v="0"/>
    <n v="32"/>
    <x v="1"/>
    <x v="0"/>
    <n v="1"/>
    <n v="30"/>
    <n v="30"/>
    <n v="0.6"/>
    <n v="0"/>
  </r>
  <r>
    <n v="208"/>
    <n v="4"/>
    <n v="10"/>
    <n v="2023"/>
    <d v="2023-10-04T00:00:00"/>
    <s v="CUST208"/>
    <x v="0"/>
    <n v="34"/>
    <x v="1"/>
    <x v="2"/>
    <n v="4"/>
    <n v="50"/>
    <n v="200"/>
    <n v="4"/>
    <n v="0"/>
  </r>
  <r>
    <n v="247"/>
    <n v="4"/>
    <n v="10"/>
    <n v="2023"/>
    <d v="2023-10-04T00:00:00"/>
    <s v="CUST247"/>
    <x v="1"/>
    <n v="41"/>
    <x v="1"/>
    <x v="2"/>
    <n v="2"/>
    <n v="30"/>
    <n v="60"/>
    <n v="1.2"/>
    <n v="0"/>
  </r>
  <r>
    <n v="290"/>
    <n v="4"/>
    <n v="10"/>
    <n v="2023"/>
    <d v="2023-10-04T00:00:00"/>
    <s v="CUST290"/>
    <x v="0"/>
    <n v="30"/>
    <x v="1"/>
    <x v="1"/>
    <n v="2"/>
    <n v="300"/>
    <n v="600"/>
    <n v="12"/>
    <n v="0"/>
  </r>
  <r>
    <n v="656"/>
    <n v="4"/>
    <n v="10"/>
    <n v="2023"/>
    <d v="2023-10-04T00:00:00"/>
    <s v="CUST656"/>
    <x v="1"/>
    <n v="29"/>
    <x v="0"/>
    <x v="1"/>
    <n v="3"/>
    <n v="30"/>
    <n v="90"/>
    <n v="1.8"/>
    <n v="0"/>
  </r>
  <r>
    <n v="755"/>
    <n v="22"/>
    <n v="4"/>
    <n v="2023"/>
    <d v="2023-04-22T00:00:00"/>
    <s v="CUST755"/>
    <x v="0"/>
    <n v="58"/>
    <x v="2"/>
    <x v="0"/>
    <n v="3"/>
    <n v="25"/>
    <n v="75"/>
    <n v="1.5"/>
    <n v="0"/>
  </r>
  <r>
    <n v="758"/>
    <n v="12"/>
    <n v="5"/>
    <n v="2023"/>
    <d v="2023-05-12T00:00:00"/>
    <s v="CUST758"/>
    <x v="1"/>
    <n v="64"/>
    <x v="2"/>
    <x v="0"/>
    <n v="4"/>
    <n v="25"/>
    <n v="100"/>
    <n v="2"/>
    <n v="0"/>
  </r>
  <r>
    <n v="670"/>
    <n v="5"/>
    <n v="10"/>
    <n v="2023"/>
    <d v="2023-10-05T00:00:00"/>
    <s v="CUST670"/>
    <x v="1"/>
    <n v="27"/>
    <x v="0"/>
    <x v="1"/>
    <n v="1"/>
    <n v="30"/>
    <n v="30"/>
    <n v="0.6"/>
    <n v="0"/>
  </r>
  <r>
    <n v="385"/>
    <n v="6"/>
    <n v="10"/>
    <n v="2023"/>
    <d v="2023-10-06T00:00:00"/>
    <s v="CUST385"/>
    <x v="1"/>
    <n v="50"/>
    <x v="2"/>
    <x v="2"/>
    <n v="3"/>
    <n v="500"/>
    <n v="1500"/>
    <n v="30"/>
    <n v="0"/>
  </r>
  <r>
    <n v="761"/>
    <n v="7"/>
    <n v="11"/>
    <n v="2023"/>
    <d v="2023-11-07T00:00:00"/>
    <s v="CUST761"/>
    <x v="0"/>
    <n v="33"/>
    <x v="1"/>
    <x v="0"/>
    <n v="1"/>
    <n v="500"/>
    <n v="500"/>
    <n v="10"/>
    <n v="0"/>
  </r>
  <r>
    <n v="26"/>
    <n v="7"/>
    <n v="10"/>
    <n v="2023"/>
    <d v="2023-10-07T00:00:00"/>
    <s v="CUST026"/>
    <x v="0"/>
    <n v="28"/>
    <x v="0"/>
    <x v="2"/>
    <n v="2"/>
    <n v="500"/>
    <n v="1000"/>
    <n v="20"/>
    <n v="0"/>
  </r>
  <r>
    <n v="437"/>
    <n v="7"/>
    <n v="10"/>
    <n v="2023"/>
    <d v="2023-10-07T00:00:00"/>
    <s v="CUST437"/>
    <x v="0"/>
    <n v="35"/>
    <x v="1"/>
    <x v="2"/>
    <n v="4"/>
    <n v="300"/>
    <n v="1200"/>
    <n v="24"/>
    <n v="0"/>
  </r>
  <r>
    <n v="689"/>
    <n v="7"/>
    <n v="10"/>
    <n v="2023"/>
    <d v="2023-10-07T00:00:00"/>
    <s v="CUST689"/>
    <x v="1"/>
    <n v="57"/>
    <x v="2"/>
    <x v="2"/>
    <n v="2"/>
    <n v="50"/>
    <n v="100"/>
    <n v="2"/>
    <n v="0"/>
  </r>
  <r>
    <n v="763"/>
    <n v="28"/>
    <n v="2"/>
    <n v="2023"/>
    <d v="2023-02-28T00:00:00"/>
    <s v="CUST763"/>
    <x v="1"/>
    <n v="34"/>
    <x v="1"/>
    <x v="0"/>
    <n v="2"/>
    <n v="25"/>
    <n v="50"/>
    <n v="1"/>
    <n v="0"/>
  </r>
  <r>
    <n v="634"/>
    <n v="8"/>
    <n v="10"/>
    <n v="2023"/>
    <d v="2023-10-08T00:00:00"/>
    <s v="CUST634"/>
    <x v="1"/>
    <n v="60"/>
    <x v="2"/>
    <x v="2"/>
    <n v="4"/>
    <n v="500"/>
    <n v="2000"/>
    <n v="40"/>
    <n v="0"/>
  </r>
  <r>
    <n v="201"/>
    <n v="9"/>
    <n v="10"/>
    <n v="2023"/>
    <d v="2023-10-09T00:00:00"/>
    <s v="CUST201"/>
    <x v="1"/>
    <n v="56"/>
    <x v="2"/>
    <x v="2"/>
    <n v="1"/>
    <n v="25"/>
    <n v="25"/>
    <n v="0.5"/>
    <n v="0"/>
  </r>
  <r>
    <n v="286"/>
    <n v="9"/>
    <n v="10"/>
    <n v="2023"/>
    <d v="2023-10-09T00:00:00"/>
    <s v="CUST286"/>
    <x v="1"/>
    <n v="55"/>
    <x v="2"/>
    <x v="2"/>
    <n v="2"/>
    <n v="25"/>
    <n v="50"/>
    <n v="1"/>
    <n v="0"/>
  </r>
  <r>
    <n v="764"/>
    <n v="25"/>
    <n v="3"/>
    <n v="2023"/>
    <d v="2023-03-25T00:00:00"/>
    <s v="CUST764"/>
    <x v="0"/>
    <n v="40"/>
    <x v="1"/>
    <x v="0"/>
    <n v="1"/>
    <n v="25"/>
    <n v="25"/>
    <n v="0.5"/>
    <n v="0"/>
  </r>
  <r>
    <n v="55"/>
    <n v="10"/>
    <n v="10"/>
    <n v="2023"/>
    <d v="2023-10-10T00:00:00"/>
    <s v="CUST055"/>
    <x v="1"/>
    <n v="31"/>
    <x v="1"/>
    <x v="1"/>
    <n v="4"/>
    <n v="30"/>
    <n v="120"/>
    <n v="2.4"/>
    <n v="0"/>
  </r>
  <r>
    <n v="428"/>
    <n v="10"/>
    <n v="10"/>
    <n v="2023"/>
    <d v="2023-10-10T00:00:00"/>
    <s v="CUST428"/>
    <x v="0"/>
    <n v="40"/>
    <x v="1"/>
    <x v="2"/>
    <n v="4"/>
    <n v="50"/>
    <n v="200"/>
    <n v="4"/>
    <n v="0"/>
  </r>
  <r>
    <n v="441"/>
    <n v="10"/>
    <n v="10"/>
    <n v="2023"/>
    <d v="2023-10-10T00:00:00"/>
    <s v="CUST441"/>
    <x v="1"/>
    <n v="57"/>
    <x v="2"/>
    <x v="1"/>
    <n v="4"/>
    <n v="300"/>
    <n v="1200"/>
    <n v="24"/>
    <n v="0"/>
  </r>
  <r>
    <n v="976"/>
    <n v="10"/>
    <n v="10"/>
    <n v="2023"/>
    <d v="2023-10-10T00:00:00"/>
    <s v="CUST976"/>
    <x v="0"/>
    <n v="48"/>
    <x v="1"/>
    <x v="1"/>
    <n v="2"/>
    <n v="300"/>
    <n v="600"/>
    <n v="12"/>
    <n v="0"/>
  </r>
  <r>
    <n v="765"/>
    <n v="9"/>
    <n v="6"/>
    <n v="2023"/>
    <d v="2023-06-09T00:00:00"/>
    <s v="CUST765"/>
    <x v="1"/>
    <n v="43"/>
    <x v="1"/>
    <x v="0"/>
    <n v="4"/>
    <n v="50"/>
    <n v="200"/>
    <n v="4"/>
    <n v="0"/>
  </r>
  <r>
    <n v="227"/>
    <n v="11"/>
    <n v="10"/>
    <n v="2023"/>
    <d v="2023-10-11T00:00:00"/>
    <s v="CUST227"/>
    <x v="1"/>
    <n v="36"/>
    <x v="1"/>
    <x v="2"/>
    <n v="2"/>
    <n v="50"/>
    <n v="100"/>
    <n v="2"/>
    <n v="0"/>
  </r>
  <r>
    <n v="771"/>
    <n v="13"/>
    <n v="12"/>
    <n v="2023"/>
    <d v="2023-12-13T00:00:00"/>
    <s v="CUST771"/>
    <x v="1"/>
    <n v="24"/>
    <x v="0"/>
    <x v="2"/>
    <n v="2"/>
    <n v="25"/>
    <n v="50"/>
    <n v="1"/>
    <n v="0"/>
  </r>
  <r>
    <n v="770"/>
    <n v="22"/>
    <n v="10"/>
    <n v="2023"/>
    <d v="2023-10-22T00:00:00"/>
    <s v="CUST770"/>
    <x v="1"/>
    <n v="32"/>
    <x v="1"/>
    <x v="0"/>
    <n v="1"/>
    <n v="50"/>
    <n v="50"/>
    <n v="1"/>
    <n v="0"/>
  </r>
  <r>
    <n v="546"/>
    <n v="11"/>
    <n v="10"/>
    <n v="2023"/>
    <d v="2023-10-11T00:00:00"/>
    <s v="CUST546"/>
    <x v="0"/>
    <n v="36"/>
    <x v="1"/>
    <x v="2"/>
    <n v="4"/>
    <n v="50"/>
    <n v="200"/>
    <n v="4"/>
    <n v="0"/>
  </r>
  <r>
    <n v="872"/>
    <n v="11"/>
    <n v="10"/>
    <n v="2023"/>
    <d v="2023-10-11T00:00:00"/>
    <s v="CUST872"/>
    <x v="0"/>
    <n v="63"/>
    <x v="2"/>
    <x v="1"/>
    <n v="3"/>
    <n v="25"/>
    <n v="75"/>
    <n v="1.5"/>
    <n v="0"/>
  </r>
  <r>
    <n v="914"/>
    <n v="11"/>
    <n v="10"/>
    <n v="2023"/>
    <d v="2023-10-11T00:00:00"/>
    <s v="CUST914"/>
    <x v="0"/>
    <n v="59"/>
    <x v="2"/>
    <x v="2"/>
    <n v="1"/>
    <n v="500"/>
    <n v="500"/>
    <n v="10"/>
    <n v="0"/>
  </r>
  <r>
    <n v="310"/>
    <n v="12"/>
    <n v="10"/>
    <n v="2023"/>
    <d v="2023-10-12T00:00:00"/>
    <s v="CUST310"/>
    <x v="0"/>
    <n v="28"/>
    <x v="0"/>
    <x v="1"/>
    <n v="1"/>
    <n v="25"/>
    <n v="25"/>
    <n v="0.5"/>
    <n v="0"/>
  </r>
  <r>
    <n v="774"/>
    <n v="12"/>
    <n v="4"/>
    <n v="2023"/>
    <d v="2023-04-12T00:00:00"/>
    <s v="CUST774"/>
    <x v="0"/>
    <n v="40"/>
    <x v="1"/>
    <x v="0"/>
    <n v="2"/>
    <n v="25"/>
    <n v="50"/>
    <n v="1"/>
    <n v="0"/>
  </r>
  <r>
    <n v="776"/>
    <n v="31"/>
    <n v="10"/>
    <n v="2023"/>
    <d v="2023-10-31T00:00:00"/>
    <s v="CUST776"/>
    <x v="1"/>
    <n v="35"/>
    <x v="1"/>
    <x v="0"/>
    <n v="3"/>
    <n v="30"/>
    <n v="90"/>
    <n v="1.8"/>
    <n v="0"/>
  </r>
  <r>
    <n v="97"/>
    <n v="13"/>
    <n v="10"/>
    <n v="2023"/>
    <d v="2023-10-13T00:00:00"/>
    <s v="CUST097"/>
    <x v="0"/>
    <n v="51"/>
    <x v="2"/>
    <x v="1"/>
    <n v="2"/>
    <n v="500"/>
    <n v="1000"/>
    <n v="20"/>
    <n v="0"/>
  </r>
  <r>
    <n v="619"/>
    <n v="13"/>
    <n v="10"/>
    <n v="2023"/>
    <d v="2023-10-13T00:00:00"/>
    <s v="CUST619"/>
    <x v="1"/>
    <n v="47"/>
    <x v="1"/>
    <x v="2"/>
    <n v="4"/>
    <n v="25"/>
    <n v="100"/>
    <n v="2"/>
    <n v="0"/>
  </r>
  <r>
    <n v="792"/>
    <n v="9"/>
    <n v="7"/>
    <n v="2023"/>
    <d v="2023-07-09T00:00:00"/>
    <s v="CUST792"/>
    <x v="0"/>
    <n v="20"/>
    <x v="0"/>
    <x v="1"/>
    <n v="1"/>
    <n v="50"/>
    <n v="50"/>
    <n v="1"/>
    <n v="0"/>
  </r>
  <r>
    <n v="456"/>
    <n v="14"/>
    <n v="10"/>
    <n v="2023"/>
    <d v="2023-10-14T00:00:00"/>
    <s v="CUST456"/>
    <x v="1"/>
    <n v="57"/>
    <x v="2"/>
    <x v="2"/>
    <n v="2"/>
    <n v="30"/>
    <n v="60"/>
    <n v="1.2"/>
    <n v="0"/>
  </r>
  <r>
    <n v="782"/>
    <n v="4"/>
    <n v="6"/>
    <n v="2023"/>
    <d v="2023-06-04T00:00:00"/>
    <s v="CUST782"/>
    <x v="1"/>
    <n v="59"/>
    <x v="2"/>
    <x v="0"/>
    <n v="3"/>
    <n v="300"/>
    <n v="900"/>
    <n v="18"/>
    <n v="0"/>
  </r>
  <r>
    <n v="783"/>
    <n v="17"/>
    <n v="12"/>
    <n v="2023"/>
    <d v="2023-12-17T00:00:00"/>
    <s v="CUST783"/>
    <x v="0"/>
    <n v="56"/>
    <x v="2"/>
    <x v="0"/>
    <n v="1"/>
    <n v="300"/>
    <n v="300"/>
    <n v="6"/>
    <n v="0"/>
  </r>
  <r>
    <n v="121"/>
    <n v="15"/>
    <n v="10"/>
    <n v="2023"/>
    <d v="2023-10-15T00:00:00"/>
    <s v="CUST121"/>
    <x v="0"/>
    <n v="28"/>
    <x v="0"/>
    <x v="2"/>
    <n v="4"/>
    <n v="50"/>
    <n v="200"/>
    <n v="4"/>
    <n v="0"/>
  </r>
  <r>
    <n v="431"/>
    <n v="15"/>
    <n v="10"/>
    <n v="2023"/>
    <d v="2023-10-15T00:00:00"/>
    <s v="CUST431"/>
    <x v="1"/>
    <n v="63"/>
    <x v="2"/>
    <x v="2"/>
    <n v="4"/>
    <n v="300"/>
    <n v="1200"/>
    <n v="24"/>
    <n v="0"/>
  </r>
  <r>
    <n v="801"/>
    <n v="10"/>
    <n v="8"/>
    <n v="2023"/>
    <d v="2023-08-10T00:00:00"/>
    <s v="CUST801"/>
    <x v="1"/>
    <n v="21"/>
    <x v="0"/>
    <x v="0"/>
    <n v="4"/>
    <n v="50"/>
    <n v="200"/>
    <n v="4"/>
    <n v="0"/>
  </r>
  <r>
    <n v="711"/>
    <n v="16"/>
    <n v="10"/>
    <n v="2023"/>
    <d v="2023-10-16T00:00:00"/>
    <s v="CUST711"/>
    <x v="1"/>
    <n v="26"/>
    <x v="0"/>
    <x v="2"/>
    <n v="3"/>
    <n v="500"/>
    <n v="1500"/>
    <n v="30"/>
    <n v="0"/>
  </r>
  <r>
    <n v="754"/>
    <n v="16"/>
    <n v="10"/>
    <n v="2023"/>
    <d v="2023-10-16T00:00:00"/>
    <s v="CUST754"/>
    <x v="0"/>
    <n v="43"/>
    <x v="1"/>
    <x v="2"/>
    <n v="4"/>
    <n v="25"/>
    <n v="100"/>
    <n v="2"/>
    <n v="0"/>
  </r>
  <r>
    <n v="786"/>
    <n v="17"/>
    <n v="10"/>
    <n v="2023"/>
    <d v="2023-10-17T00:00:00"/>
    <s v="CUST786"/>
    <x v="1"/>
    <n v="48"/>
    <x v="1"/>
    <x v="0"/>
    <n v="4"/>
    <n v="25"/>
    <n v="100"/>
    <n v="2"/>
    <n v="0"/>
  </r>
  <r>
    <n v="350"/>
    <n v="17"/>
    <n v="10"/>
    <n v="2023"/>
    <d v="2023-10-17T00:00:00"/>
    <s v="CUST350"/>
    <x v="1"/>
    <n v="25"/>
    <x v="0"/>
    <x v="1"/>
    <n v="3"/>
    <n v="25"/>
    <n v="75"/>
    <n v="1.5"/>
    <n v="0"/>
  </r>
  <r>
    <n v="789"/>
    <n v="30"/>
    <n v="9"/>
    <n v="2023"/>
    <d v="2023-09-30T00:00:00"/>
    <s v="CUST789"/>
    <x v="0"/>
    <n v="61"/>
    <x v="2"/>
    <x v="0"/>
    <n v="4"/>
    <n v="500"/>
    <n v="2000"/>
    <n v="40"/>
    <n v="0"/>
  </r>
  <r>
    <n v="109"/>
    <n v="18"/>
    <n v="10"/>
    <n v="2023"/>
    <d v="2023-10-18T00:00:00"/>
    <s v="CUST109"/>
    <x v="0"/>
    <n v="34"/>
    <x v="1"/>
    <x v="2"/>
    <n v="4"/>
    <n v="500"/>
    <n v="2000"/>
    <n v="40"/>
    <n v="0"/>
  </r>
  <r>
    <n v="191"/>
    <n v="18"/>
    <n v="10"/>
    <n v="2023"/>
    <d v="2023-10-18T00:00:00"/>
    <s v="CUST191"/>
    <x v="1"/>
    <n v="64"/>
    <x v="2"/>
    <x v="1"/>
    <n v="1"/>
    <n v="25"/>
    <n v="25"/>
    <n v="0.5"/>
    <n v="0"/>
  </r>
  <r>
    <n v="790"/>
    <n v="8"/>
    <n v="8"/>
    <n v="2023"/>
    <d v="2023-08-08T00:00:00"/>
    <s v="CUST790"/>
    <x v="1"/>
    <n v="62"/>
    <x v="2"/>
    <x v="0"/>
    <n v="1"/>
    <n v="25"/>
    <n v="25"/>
    <n v="0.5"/>
    <n v="0"/>
  </r>
  <r>
    <n v="555"/>
    <n v="19"/>
    <n v="10"/>
    <n v="2023"/>
    <d v="2023-10-19T00:00:00"/>
    <s v="CUST555"/>
    <x v="1"/>
    <n v="25"/>
    <x v="0"/>
    <x v="1"/>
    <n v="1"/>
    <n v="300"/>
    <n v="300"/>
    <n v="6"/>
    <n v="0"/>
  </r>
  <r>
    <n v="797"/>
    <n v="7"/>
    <n v="1"/>
    <n v="2023"/>
    <d v="2023-01-07T00:00:00"/>
    <s v="CUST797"/>
    <x v="1"/>
    <n v="40"/>
    <x v="1"/>
    <x v="0"/>
    <n v="3"/>
    <n v="25"/>
    <n v="75"/>
    <n v="1.5"/>
    <n v="0"/>
  </r>
  <r>
    <n v="798"/>
    <n v="4"/>
    <n v="8"/>
    <n v="2023"/>
    <d v="2023-08-04T00:00:00"/>
    <s v="CUST798"/>
    <x v="1"/>
    <n v="61"/>
    <x v="2"/>
    <x v="0"/>
    <n v="1"/>
    <n v="50"/>
    <n v="50"/>
    <n v="1"/>
    <n v="0"/>
  </r>
  <r>
    <n v="800"/>
    <n v="24"/>
    <n v="2"/>
    <n v="2023"/>
    <d v="2023-02-24T00:00:00"/>
    <s v="CUST800"/>
    <x v="1"/>
    <n v="32"/>
    <x v="1"/>
    <x v="0"/>
    <n v="4"/>
    <n v="300"/>
    <n v="1200"/>
    <n v="24"/>
    <n v="0"/>
  </r>
  <r>
    <n v="922"/>
    <n v="21"/>
    <n v="10"/>
    <n v="2023"/>
    <d v="2023-10-21T00:00:00"/>
    <s v="CUST922"/>
    <x v="1"/>
    <n v="41"/>
    <x v="1"/>
    <x v="2"/>
    <n v="1"/>
    <n v="50"/>
    <n v="50"/>
    <n v="1"/>
    <n v="0"/>
  </r>
  <r>
    <n v="600"/>
    <n v="22"/>
    <n v="10"/>
    <n v="2023"/>
    <d v="2023-10-22T00:00:00"/>
    <s v="CUST600"/>
    <x v="0"/>
    <n v="59"/>
    <x v="2"/>
    <x v="1"/>
    <n v="2"/>
    <n v="500"/>
    <n v="1000"/>
    <n v="20"/>
    <n v="0"/>
  </r>
  <r>
    <n v="812"/>
    <n v="12"/>
    <n v="11"/>
    <n v="2023"/>
    <d v="2023-11-12T00:00:00"/>
    <s v="CUST812"/>
    <x v="1"/>
    <n v="19"/>
    <x v="0"/>
    <x v="2"/>
    <n v="3"/>
    <n v="25"/>
    <n v="75"/>
    <n v="1.5"/>
    <n v="0"/>
  </r>
  <r>
    <n v="803"/>
    <n v="22"/>
    <n v="11"/>
    <n v="2023"/>
    <d v="2023-11-22T00:00:00"/>
    <s v="CUST803"/>
    <x v="1"/>
    <n v="39"/>
    <x v="1"/>
    <x v="0"/>
    <n v="4"/>
    <n v="25"/>
    <n v="100"/>
    <n v="2"/>
    <n v="0"/>
  </r>
  <r>
    <n v="60"/>
    <n v="23"/>
    <n v="10"/>
    <n v="2023"/>
    <d v="2023-10-23T00:00:00"/>
    <s v="CUST060"/>
    <x v="1"/>
    <n v="30"/>
    <x v="1"/>
    <x v="1"/>
    <n v="3"/>
    <n v="50"/>
    <n v="150"/>
    <n v="3"/>
    <n v="0"/>
  </r>
  <r>
    <n v="250"/>
    <n v="23"/>
    <n v="10"/>
    <n v="2023"/>
    <d v="2023-10-23T00:00:00"/>
    <s v="CUST250"/>
    <x v="1"/>
    <n v="48"/>
    <x v="1"/>
    <x v="2"/>
    <n v="1"/>
    <n v="50"/>
    <n v="50"/>
    <n v="1"/>
    <n v="0"/>
  </r>
  <r>
    <n v="516"/>
    <n v="23"/>
    <n v="10"/>
    <n v="2023"/>
    <d v="2023-10-23T00:00:00"/>
    <s v="CUST516"/>
    <x v="1"/>
    <n v="30"/>
    <x v="1"/>
    <x v="1"/>
    <n v="4"/>
    <n v="25"/>
    <n v="100"/>
    <n v="2"/>
    <n v="0"/>
  </r>
  <r>
    <n v="937"/>
    <n v="23"/>
    <n v="10"/>
    <n v="2023"/>
    <d v="2023-10-23T00:00:00"/>
    <s v="CUST937"/>
    <x v="0"/>
    <n v="62"/>
    <x v="2"/>
    <x v="1"/>
    <n v="1"/>
    <n v="500"/>
    <n v="500"/>
    <n v="10"/>
    <n v="0"/>
  </r>
  <r>
    <n v="814"/>
    <n v="5"/>
    <n v="9"/>
    <n v="2023"/>
    <d v="2023-09-05T00:00:00"/>
    <s v="CUST814"/>
    <x v="0"/>
    <n v="59"/>
    <x v="2"/>
    <x v="0"/>
    <n v="1"/>
    <n v="500"/>
    <n v="500"/>
    <n v="10"/>
    <n v="0"/>
  </r>
  <r>
    <n v="815"/>
    <n v="27"/>
    <n v="8"/>
    <n v="2023"/>
    <d v="2023-08-27T00:00:00"/>
    <s v="CUST815"/>
    <x v="0"/>
    <n v="51"/>
    <x v="2"/>
    <x v="0"/>
    <n v="3"/>
    <n v="25"/>
    <n v="75"/>
    <n v="1.5"/>
    <n v="0"/>
  </r>
  <r>
    <n v="564"/>
    <n v="24"/>
    <n v="10"/>
    <n v="2023"/>
    <d v="2023-10-24T00:00:00"/>
    <s v="CUST564"/>
    <x v="1"/>
    <n v="50"/>
    <x v="2"/>
    <x v="2"/>
    <n v="2"/>
    <n v="50"/>
    <n v="100"/>
    <n v="2"/>
    <n v="0"/>
  </r>
  <r>
    <n v="767"/>
    <n v="24"/>
    <n v="10"/>
    <n v="2023"/>
    <d v="2023-10-24T00:00:00"/>
    <s v="CUST767"/>
    <x v="1"/>
    <n v="39"/>
    <x v="1"/>
    <x v="1"/>
    <n v="3"/>
    <n v="25"/>
    <n v="75"/>
    <n v="1.5"/>
    <n v="0"/>
  </r>
  <r>
    <n v="503"/>
    <n v="25"/>
    <n v="10"/>
    <n v="2023"/>
    <d v="2023-10-25T00:00:00"/>
    <s v="CUST503"/>
    <x v="1"/>
    <n v="45"/>
    <x v="1"/>
    <x v="1"/>
    <n v="4"/>
    <n v="500"/>
    <n v="2000"/>
    <n v="40"/>
    <n v="0"/>
  </r>
  <r>
    <n v="869"/>
    <n v="25"/>
    <n v="10"/>
    <n v="2023"/>
    <d v="2023-10-25T00:00:00"/>
    <s v="CUST869"/>
    <x v="1"/>
    <n v="37"/>
    <x v="1"/>
    <x v="1"/>
    <n v="3"/>
    <n v="500"/>
    <n v="1500"/>
    <n v="30"/>
    <n v="0"/>
  </r>
  <r>
    <n v="824"/>
    <n v="5"/>
    <n v="5"/>
    <n v="2023"/>
    <d v="2023-05-05T00:00:00"/>
    <s v="CUST824"/>
    <x v="1"/>
    <n v="63"/>
    <x v="2"/>
    <x v="0"/>
    <n v="4"/>
    <n v="30"/>
    <n v="120"/>
    <n v="2.4"/>
    <n v="0"/>
  </r>
  <r>
    <n v="349"/>
    <n v="26"/>
    <n v="10"/>
    <n v="2023"/>
    <d v="2023-10-26T00:00:00"/>
    <s v="CUST349"/>
    <x v="0"/>
    <n v="57"/>
    <x v="2"/>
    <x v="1"/>
    <n v="1"/>
    <n v="50"/>
    <n v="50"/>
    <n v="1"/>
    <n v="0"/>
  </r>
  <r>
    <n v="826"/>
    <n v="19"/>
    <n v="10"/>
    <n v="2023"/>
    <d v="2023-10-19T00:00:00"/>
    <s v="CUST826"/>
    <x v="0"/>
    <n v="46"/>
    <x v="1"/>
    <x v="0"/>
    <n v="1"/>
    <n v="300"/>
    <n v="300"/>
    <n v="6"/>
    <n v="0"/>
  </r>
  <r>
    <n v="830"/>
    <n v="22"/>
    <n v="6"/>
    <n v="2023"/>
    <d v="2023-06-22T00:00:00"/>
    <s v="CUST830"/>
    <x v="0"/>
    <n v="64"/>
    <x v="2"/>
    <x v="0"/>
    <n v="3"/>
    <n v="50"/>
    <n v="150"/>
    <n v="3"/>
    <n v="0"/>
  </r>
  <r>
    <n v="324"/>
    <n v="27"/>
    <n v="10"/>
    <n v="2023"/>
    <d v="2023-10-27T00:00:00"/>
    <s v="CUST324"/>
    <x v="0"/>
    <n v="52"/>
    <x v="2"/>
    <x v="2"/>
    <n v="3"/>
    <n v="50"/>
    <n v="150"/>
    <n v="3"/>
    <n v="0"/>
  </r>
  <r>
    <n v="836"/>
    <n v="19"/>
    <n v="4"/>
    <n v="2023"/>
    <d v="2023-04-19T00:00:00"/>
    <s v="CUST836"/>
    <x v="0"/>
    <n v="22"/>
    <x v="0"/>
    <x v="0"/>
    <n v="1"/>
    <n v="50"/>
    <n v="50"/>
    <n v="1"/>
    <n v="0"/>
  </r>
  <r>
    <n v="30"/>
    <n v="29"/>
    <n v="10"/>
    <n v="2023"/>
    <d v="2023-10-29T00:00:00"/>
    <s v="CUST030"/>
    <x v="0"/>
    <n v="39"/>
    <x v="1"/>
    <x v="1"/>
    <n v="3"/>
    <n v="300"/>
    <n v="900"/>
    <n v="18"/>
    <n v="0"/>
  </r>
  <r>
    <n v="835"/>
    <n v="7"/>
    <n v="9"/>
    <n v="2023"/>
    <d v="2023-09-07T00:00:00"/>
    <s v="CUST835"/>
    <x v="1"/>
    <n v="37"/>
    <x v="1"/>
    <x v="0"/>
    <n v="4"/>
    <n v="50"/>
    <n v="200"/>
    <n v="4"/>
    <n v="0"/>
  </r>
  <r>
    <n v="229"/>
    <n v="29"/>
    <n v="10"/>
    <n v="2023"/>
    <d v="2023-10-29T00:00:00"/>
    <s v="CUST229"/>
    <x v="1"/>
    <n v="58"/>
    <x v="2"/>
    <x v="1"/>
    <n v="3"/>
    <n v="30"/>
    <n v="90"/>
    <n v="1.8"/>
    <n v="0"/>
  </r>
  <r>
    <n v="896"/>
    <n v="29"/>
    <n v="10"/>
    <n v="2023"/>
    <d v="2023-10-29T00:00:00"/>
    <s v="CUST896"/>
    <x v="0"/>
    <n v="30"/>
    <x v="1"/>
    <x v="2"/>
    <n v="2"/>
    <n v="25"/>
    <n v="50"/>
    <n v="1"/>
    <n v="0"/>
  </r>
  <r>
    <n v="959"/>
    <n v="29"/>
    <n v="10"/>
    <n v="2023"/>
    <d v="2023-10-29T00:00:00"/>
    <s v="CUST959"/>
    <x v="0"/>
    <n v="42"/>
    <x v="1"/>
    <x v="2"/>
    <n v="2"/>
    <n v="30"/>
    <n v="60"/>
    <n v="1.2"/>
    <n v="0"/>
  </r>
  <r>
    <n v="837"/>
    <n v="1"/>
    <n v="7"/>
    <n v="2023"/>
    <d v="2023-07-01T00:00:00"/>
    <s v="CUST837"/>
    <x v="1"/>
    <n v="18"/>
    <x v="0"/>
    <x v="1"/>
    <n v="3"/>
    <n v="30"/>
    <n v="90"/>
    <n v="1.8"/>
    <n v="0"/>
  </r>
  <r>
    <n v="12"/>
    <n v="30"/>
    <n v="10"/>
    <n v="2023"/>
    <d v="2023-10-30T00:00:00"/>
    <s v="CUST012"/>
    <x v="1"/>
    <n v="35"/>
    <x v="1"/>
    <x v="1"/>
    <n v="3"/>
    <n v="25"/>
    <n v="75"/>
    <n v="1.5"/>
    <n v="0"/>
  </r>
  <r>
    <n v="710"/>
    <n v="31"/>
    <n v="10"/>
    <n v="2023"/>
    <d v="2023-10-31T00:00:00"/>
    <s v="CUST710"/>
    <x v="0"/>
    <n v="26"/>
    <x v="0"/>
    <x v="2"/>
    <n v="3"/>
    <n v="500"/>
    <n v="1500"/>
    <n v="30"/>
    <n v="0"/>
  </r>
  <r>
    <n v="839"/>
    <n v="24"/>
    <n v="6"/>
    <n v="2023"/>
    <d v="2023-06-24T00:00:00"/>
    <s v="CUST839"/>
    <x v="0"/>
    <n v="20"/>
    <x v="0"/>
    <x v="2"/>
    <n v="4"/>
    <n v="300"/>
    <n v="1200"/>
    <n v="24"/>
    <n v="0"/>
  </r>
  <r>
    <n v="817"/>
    <n v="31"/>
    <n v="10"/>
    <n v="2023"/>
    <d v="2023-10-31T00:00:00"/>
    <s v="CUST817"/>
    <x v="1"/>
    <n v="30"/>
    <x v="1"/>
    <x v="1"/>
    <n v="4"/>
    <n v="50"/>
    <n v="200"/>
    <n v="4"/>
    <n v="0"/>
  </r>
  <r>
    <n v="334"/>
    <n v="1"/>
    <n v="11"/>
    <n v="2023"/>
    <d v="2023-11-01T00:00:00"/>
    <s v="CUST334"/>
    <x v="1"/>
    <n v="31"/>
    <x v="1"/>
    <x v="2"/>
    <n v="3"/>
    <n v="300"/>
    <n v="900"/>
    <n v="18"/>
    <n v="0"/>
  </r>
  <r>
    <n v="843"/>
    <n v="22"/>
    <n v="5"/>
    <n v="2023"/>
    <d v="2023-05-22T00:00:00"/>
    <s v="CUST843"/>
    <x v="1"/>
    <n v="21"/>
    <x v="0"/>
    <x v="1"/>
    <n v="3"/>
    <n v="500"/>
    <n v="1500"/>
    <n v="30"/>
    <n v="0"/>
  </r>
  <r>
    <n v="847"/>
    <n v="8"/>
    <n v="4"/>
    <n v="2023"/>
    <d v="2023-04-08T00:00:00"/>
    <s v="CUST847"/>
    <x v="0"/>
    <n v="18"/>
    <x v="0"/>
    <x v="2"/>
    <n v="4"/>
    <n v="300"/>
    <n v="1200"/>
    <n v="24"/>
    <n v="0"/>
  </r>
  <r>
    <n v="840"/>
    <n v="24"/>
    <n v="5"/>
    <n v="2023"/>
    <d v="2023-05-24T00:00:00"/>
    <s v="CUST840"/>
    <x v="1"/>
    <n v="62"/>
    <x v="2"/>
    <x v="0"/>
    <n v="2"/>
    <n v="25"/>
    <n v="50"/>
    <n v="1"/>
    <n v="0"/>
  </r>
  <r>
    <n v="853"/>
    <n v="4"/>
    <n v="5"/>
    <n v="2023"/>
    <d v="2023-05-04T00:00:00"/>
    <s v="CUST853"/>
    <x v="1"/>
    <n v="21"/>
    <x v="0"/>
    <x v="1"/>
    <n v="2"/>
    <n v="500"/>
    <n v="1000"/>
    <n v="20"/>
    <n v="0"/>
  </r>
  <r>
    <n v="842"/>
    <n v="26"/>
    <n v="12"/>
    <n v="2023"/>
    <d v="2023-12-26T00:00:00"/>
    <s v="CUST842"/>
    <x v="0"/>
    <n v="47"/>
    <x v="1"/>
    <x v="0"/>
    <n v="2"/>
    <n v="300"/>
    <n v="600"/>
    <n v="12"/>
    <n v="0"/>
  </r>
  <r>
    <n v="507"/>
    <n v="2"/>
    <n v="11"/>
    <n v="2023"/>
    <d v="2023-11-02T00:00:00"/>
    <s v="CUST507"/>
    <x v="0"/>
    <n v="37"/>
    <x v="1"/>
    <x v="2"/>
    <n v="3"/>
    <n v="500"/>
    <n v="1500"/>
    <n v="30"/>
    <n v="0"/>
  </r>
  <r>
    <n v="841"/>
    <n v="2"/>
    <n v="11"/>
    <n v="2023"/>
    <d v="2023-11-02T00:00:00"/>
    <s v="CUST841"/>
    <x v="1"/>
    <n v="31"/>
    <x v="1"/>
    <x v="2"/>
    <n v="4"/>
    <n v="25"/>
    <n v="100"/>
    <n v="2"/>
    <n v="0"/>
  </r>
  <r>
    <n v="844"/>
    <n v="12"/>
    <n v="10"/>
    <n v="2023"/>
    <d v="2023-10-12T00:00:00"/>
    <s v="CUST844"/>
    <x v="1"/>
    <n v="35"/>
    <x v="1"/>
    <x v="0"/>
    <n v="3"/>
    <n v="50"/>
    <n v="150"/>
    <n v="3"/>
    <n v="0"/>
  </r>
  <r>
    <n v="951"/>
    <n v="2"/>
    <n v="11"/>
    <n v="2023"/>
    <d v="2023-11-02T00:00:00"/>
    <s v="CUST951"/>
    <x v="1"/>
    <n v="33"/>
    <x v="1"/>
    <x v="1"/>
    <n v="2"/>
    <n v="50"/>
    <n v="100"/>
    <n v="2"/>
    <n v="0"/>
  </r>
  <r>
    <n v="858"/>
    <n v="9"/>
    <n v="9"/>
    <n v="2023"/>
    <d v="2023-09-09T00:00:00"/>
    <s v="CUST858"/>
    <x v="1"/>
    <n v="23"/>
    <x v="0"/>
    <x v="2"/>
    <n v="2"/>
    <n v="50"/>
    <n v="100"/>
    <n v="2"/>
    <n v="0"/>
  </r>
  <r>
    <n v="784"/>
    <n v="4"/>
    <n v="11"/>
    <n v="2023"/>
    <d v="2023-11-04T00:00:00"/>
    <s v="CUST784"/>
    <x v="0"/>
    <n v="34"/>
    <x v="1"/>
    <x v="2"/>
    <n v="1"/>
    <n v="500"/>
    <n v="500"/>
    <n v="10"/>
    <n v="0"/>
  </r>
  <r>
    <n v="845"/>
    <n v="6"/>
    <n v="1"/>
    <n v="2023"/>
    <d v="2023-01-06T00:00:00"/>
    <s v="CUST845"/>
    <x v="1"/>
    <n v="54"/>
    <x v="2"/>
    <x v="0"/>
    <n v="1"/>
    <n v="500"/>
    <n v="500"/>
    <n v="10"/>
    <n v="0"/>
  </r>
  <r>
    <n v="848"/>
    <n v="13"/>
    <n v="2"/>
    <n v="2023"/>
    <d v="2023-02-13T00:00:00"/>
    <s v="CUST848"/>
    <x v="0"/>
    <n v="63"/>
    <x v="2"/>
    <x v="0"/>
    <n v="3"/>
    <n v="25"/>
    <n v="75"/>
    <n v="1.5"/>
    <n v="0"/>
  </r>
  <r>
    <n v="47"/>
    <n v="6"/>
    <n v="11"/>
    <n v="2023"/>
    <d v="2023-11-06T00:00:00"/>
    <s v="CUST047"/>
    <x v="0"/>
    <n v="40"/>
    <x v="1"/>
    <x v="1"/>
    <n v="3"/>
    <n v="500"/>
    <n v="1500"/>
    <n v="30"/>
    <n v="0"/>
  </r>
  <r>
    <n v="849"/>
    <n v="4"/>
    <n v="5"/>
    <n v="2023"/>
    <d v="2023-05-04T00:00:00"/>
    <s v="CUST849"/>
    <x v="1"/>
    <n v="32"/>
    <x v="1"/>
    <x v="0"/>
    <n v="2"/>
    <n v="25"/>
    <n v="50"/>
    <n v="1"/>
    <n v="0"/>
  </r>
  <r>
    <n v="852"/>
    <n v="12"/>
    <n v="10"/>
    <n v="2023"/>
    <d v="2023-10-12T00:00:00"/>
    <s v="CUST852"/>
    <x v="0"/>
    <n v="41"/>
    <x v="1"/>
    <x v="0"/>
    <n v="1"/>
    <n v="300"/>
    <n v="300"/>
    <n v="6"/>
    <n v="0"/>
  </r>
  <r>
    <n v="512"/>
    <n v="7"/>
    <n v="11"/>
    <n v="2023"/>
    <d v="2023-11-07T00:00:00"/>
    <s v="CUST512"/>
    <x v="0"/>
    <n v="57"/>
    <x v="2"/>
    <x v="1"/>
    <n v="1"/>
    <n v="25"/>
    <n v="25"/>
    <n v="0.5"/>
    <n v="0"/>
  </r>
  <r>
    <n v="565"/>
    <n v="7"/>
    <n v="11"/>
    <n v="2023"/>
    <d v="2023-11-07T00:00:00"/>
    <s v="CUST565"/>
    <x v="0"/>
    <n v="45"/>
    <x v="1"/>
    <x v="1"/>
    <n v="2"/>
    <n v="30"/>
    <n v="60"/>
    <n v="1.2"/>
    <n v="0"/>
  </r>
  <r>
    <n v="854"/>
    <n v="20"/>
    <n v="12"/>
    <n v="2023"/>
    <d v="2023-12-20T00:00:00"/>
    <s v="CUST854"/>
    <x v="1"/>
    <n v="29"/>
    <x v="0"/>
    <x v="0"/>
    <n v="1"/>
    <n v="50"/>
    <n v="50"/>
    <n v="1"/>
    <n v="0"/>
  </r>
  <r>
    <n v="866"/>
    <n v="5"/>
    <n v="5"/>
    <n v="2023"/>
    <d v="2023-05-05T00:00:00"/>
    <s v="CUST866"/>
    <x v="1"/>
    <n v="24"/>
    <x v="0"/>
    <x v="2"/>
    <n v="1"/>
    <n v="50"/>
    <n v="50"/>
    <n v="1"/>
    <n v="0"/>
  </r>
  <r>
    <n v="860"/>
    <n v="9"/>
    <n v="1"/>
    <n v="2023"/>
    <d v="2023-01-09T00:00:00"/>
    <s v="CUST860"/>
    <x v="1"/>
    <n v="63"/>
    <x v="2"/>
    <x v="0"/>
    <n v="4"/>
    <n v="50"/>
    <n v="200"/>
    <n v="4"/>
    <n v="0"/>
  </r>
  <r>
    <n v="867"/>
    <n v="6"/>
    <n v="6"/>
    <n v="2023"/>
    <d v="2023-06-06T00:00:00"/>
    <s v="CUST867"/>
    <x v="1"/>
    <n v="21"/>
    <x v="0"/>
    <x v="2"/>
    <n v="1"/>
    <n v="500"/>
    <n v="500"/>
    <n v="10"/>
    <n v="0"/>
  </r>
  <r>
    <n v="173"/>
    <n v="8"/>
    <n v="11"/>
    <n v="2023"/>
    <d v="2023-11-08T00:00:00"/>
    <s v="CUST173"/>
    <x v="1"/>
    <n v="64"/>
    <x v="2"/>
    <x v="2"/>
    <n v="4"/>
    <n v="30"/>
    <n v="120"/>
    <n v="2.4"/>
    <n v="0"/>
  </r>
  <r>
    <n v="861"/>
    <n v="17"/>
    <n v="2"/>
    <n v="2023"/>
    <d v="2023-02-17T00:00:00"/>
    <s v="CUST861"/>
    <x v="0"/>
    <n v="41"/>
    <x v="1"/>
    <x v="0"/>
    <n v="3"/>
    <n v="30"/>
    <n v="90"/>
    <n v="1.8"/>
    <n v="0"/>
  </r>
  <r>
    <n v="827"/>
    <n v="9"/>
    <n v="11"/>
    <n v="2023"/>
    <d v="2023-11-09T00:00:00"/>
    <s v="CUST827"/>
    <x v="1"/>
    <n v="61"/>
    <x v="2"/>
    <x v="1"/>
    <n v="3"/>
    <n v="300"/>
    <n v="900"/>
    <n v="18"/>
    <n v="0"/>
  </r>
  <r>
    <n v="865"/>
    <n v="21"/>
    <n v="12"/>
    <n v="2023"/>
    <d v="2023-12-21T00:00:00"/>
    <s v="CUST865"/>
    <x v="0"/>
    <n v="42"/>
    <x v="1"/>
    <x v="0"/>
    <n v="1"/>
    <n v="300"/>
    <n v="300"/>
    <n v="6"/>
    <n v="0"/>
  </r>
  <r>
    <n v="388"/>
    <n v="10"/>
    <n v="11"/>
    <n v="2023"/>
    <d v="2023-11-10T00:00:00"/>
    <s v="CUST388"/>
    <x v="1"/>
    <n v="50"/>
    <x v="2"/>
    <x v="2"/>
    <n v="1"/>
    <n v="25"/>
    <n v="25"/>
    <n v="0.5"/>
    <n v="0"/>
  </r>
  <r>
    <n v="631"/>
    <n v="10"/>
    <n v="11"/>
    <n v="2023"/>
    <d v="2023-11-10T00:00:00"/>
    <s v="CUST631"/>
    <x v="1"/>
    <n v="56"/>
    <x v="2"/>
    <x v="2"/>
    <n v="3"/>
    <n v="30"/>
    <n v="90"/>
    <n v="1.8"/>
    <n v="0"/>
  </r>
  <r>
    <n v="554"/>
    <n v="12"/>
    <n v="11"/>
    <n v="2023"/>
    <d v="2023-11-12T00:00:00"/>
    <s v="CUST554"/>
    <x v="0"/>
    <n v="46"/>
    <x v="1"/>
    <x v="1"/>
    <n v="3"/>
    <n v="50"/>
    <n v="150"/>
    <n v="3"/>
    <n v="0"/>
  </r>
  <r>
    <n v="878"/>
    <n v="30"/>
    <n v="6"/>
    <n v="2023"/>
    <d v="2023-06-30T00:00:00"/>
    <s v="CUST878"/>
    <x v="0"/>
    <n v="20"/>
    <x v="0"/>
    <x v="0"/>
    <n v="1"/>
    <n v="30"/>
    <n v="30"/>
    <n v="0.6"/>
    <n v="0"/>
  </r>
  <r>
    <n v="876"/>
    <n v="9"/>
    <n v="10"/>
    <n v="2023"/>
    <d v="2023-10-09T00:00:00"/>
    <s v="CUST876"/>
    <x v="1"/>
    <n v="43"/>
    <x v="1"/>
    <x v="0"/>
    <n v="4"/>
    <n v="30"/>
    <n v="120"/>
    <n v="2.4"/>
    <n v="0"/>
  </r>
  <r>
    <n v="877"/>
    <n v="19"/>
    <n v="6"/>
    <n v="2023"/>
    <d v="2023-06-19T00:00:00"/>
    <s v="CUST877"/>
    <x v="0"/>
    <n v="58"/>
    <x v="2"/>
    <x v="0"/>
    <n v="1"/>
    <n v="25"/>
    <n v="25"/>
    <n v="0.5"/>
    <n v="0"/>
  </r>
  <r>
    <n v="345"/>
    <n v="14"/>
    <n v="11"/>
    <n v="2023"/>
    <d v="2023-11-14T00:00:00"/>
    <s v="CUST345"/>
    <x v="1"/>
    <n v="62"/>
    <x v="2"/>
    <x v="2"/>
    <n v="1"/>
    <n v="30"/>
    <n v="30"/>
    <n v="0.6"/>
    <n v="0"/>
  </r>
  <r>
    <n v="458"/>
    <n v="14"/>
    <n v="11"/>
    <n v="2023"/>
    <d v="2023-11-14T00:00:00"/>
    <s v="CUST458"/>
    <x v="0"/>
    <n v="39"/>
    <x v="1"/>
    <x v="2"/>
    <n v="4"/>
    <n v="25"/>
    <n v="100"/>
    <n v="2"/>
    <n v="0"/>
  </r>
  <r>
    <n v="879"/>
    <n v="26"/>
    <n v="12"/>
    <n v="2023"/>
    <d v="2023-12-26T00:00:00"/>
    <s v="CUST879"/>
    <x v="1"/>
    <n v="23"/>
    <x v="0"/>
    <x v="0"/>
    <n v="1"/>
    <n v="30"/>
    <n v="30"/>
    <n v="0.6"/>
    <n v="0"/>
  </r>
  <r>
    <n v="963"/>
    <n v="14"/>
    <n v="11"/>
    <n v="2023"/>
    <d v="2023-11-14T00:00:00"/>
    <s v="CUST963"/>
    <x v="0"/>
    <n v="55"/>
    <x v="2"/>
    <x v="1"/>
    <n v="1"/>
    <n v="50"/>
    <n v="50"/>
    <n v="1"/>
    <n v="0"/>
  </r>
  <r>
    <n v="880"/>
    <n v="21"/>
    <n v="8"/>
    <n v="2023"/>
    <d v="2023-08-21T00:00:00"/>
    <s v="CUST880"/>
    <x v="1"/>
    <n v="22"/>
    <x v="0"/>
    <x v="1"/>
    <n v="2"/>
    <n v="500"/>
    <n v="1000"/>
    <n v="20"/>
    <n v="0"/>
  </r>
  <r>
    <n v="706"/>
    <n v="15"/>
    <n v="11"/>
    <n v="2023"/>
    <d v="2023-11-15T00:00:00"/>
    <s v="CUST706"/>
    <x v="1"/>
    <n v="51"/>
    <x v="2"/>
    <x v="2"/>
    <n v="4"/>
    <n v="25"/>
    <n v="100"/>
    <n v="2"/>
    <n v="0"/>
  </r>
  <r>
    <n v="881"/>
    <n v="19"/>
    <n v="5"/>
    <n v="2023"/>
    <d v="2023-05-19T00:00:00"/>
    <s v="CUST881"/>
    <x v="1"/>
    <n v="22"/>
    <x v="0"/>
    <x v="2"/>
    <n v="1"/>
    <n v="300"/>
    <n v="300"/>
    <n v="6"/>
    <n v="0"/>
  </r>
  <r>
    <n v="892"/>
    <n v="9"/>
    <n v="4"/>
    <n v="2023"/>
    <d v="2023-04-09T00:00:00"/>
    <s v="CUST892"/>
    <x v="1"/>
    <n v="20"/>
    <x v="0"/>
    <x v="2"/>
    <n v="1"/>
    <n v="50"/>
    <n v="50"/>
    <n v="1"/>
    <n v="0"/>
  </r>
  <r>
    <n v="900"/>
    <n v="21"/>
    <n v="2"/>
    <n v="2023"/>
    <d v="2023-02-21T00:00:00"/>
    <s v="CUST900"/>
    <x v="1"/>
    <n v="21"/>
    <x v="0"/>
    <x v="0"/>
    <n v="2"/>
    <n v="30"/>
    <n v="60"/>
    <n v="1.2"/>
    <n v="0"/>
  </r>
  <r>
    <n v="645"/>
    <n v="17"/>
    <n v="11"/>
    <n v="2023"/>
    <d v="2023-11-17T00:00:00"/>
    <s v="CUST645"/>
    <x v="0"/>
    <n v="35"/>
    <x v="1"/>
    <x v="2"/>
    <n v="4"/>
    <n v="30"/>
    <n v="120"/>
    <n v="2.4"/>
    <n v="0"/>
  </r>
  <r>
    <n v="906"/>
    <n v="4"/>
    <n v="6"/>
    <n v="2023"/>
    <d v="2023-06-04T00:00:00"/>
    <s v="CUST906"/>
    <x v="0"/>
    <n v="20"/>
    <x v="0"/>
    <x v="0"/>
    <n v="1"/>
    <n v="50"/>
    <n v="50"/>
    <n v="1"/>
    <n v="0"/>
  </r>
  <r>
    <n v="997"/>
    <n v="17"/>
    <n v="11"/>
    <n v="2023"/>
    <d v="2023-11-17T00:00:00"/>
    <s v="CUST997"/>
    <x v="1"/>
    <n v="52"/>
    <x v="2"/>
    <x v="1"/>
    <n v="3"/>
    <n v="30"/>
    <n v="90"/>
    <n v="1.8"/>
    <n v="0"/>
  </r>
  <r>
    <n v="57"/>
    <n v="18"/>
    <n v="11"/>
    <n v="2023"/>
    <d v="2023-11-18T00:00:00"/>
    <s v="CUST057"/>
    <x v="0"/>
    <n v="63"/>
    <x v="2"/>
    <x v="1"/>
    <n v="1"/>
    <n v="30"/>
    <n v="30"/>
    <n v="0.6"/>
    <n v="0"/>
  </r>
  <r>
    <n v="137"/>
    <n v="18"/>
    <n v="11"/>
    <n v="2023"/>
    <d v="2023-11-18T00:00:00"/>
    <s v="CUST137"/>
    <x v="1"/>
    <n v="46"/>
    <x v="1"/>
    <x v="1"/>
    <n v="2"/>
    <n v="500"/>
    <n v="1000"/>
    <n v="20"/>
    <n v="0"/>
  </r>
  <r>
    <n v="778"/>
    <n v="18"/>
    <n v="11"/>
    <n v="2023"/>
    <d v="2023-11-18T00:00:00"/>
    <s v="CUST778"/>
    <x v="0"/>
    <n v="47"/>
    <x v="1"/>
    <x v="1"/>
    <n v="4"/>
    <n v="25"/>
    <n v="100"/>
    <n v="2"/>
    <n v="0"/>
  </r>
  <r>
    <n v="599"/>
    <n v="19"/>
    <n v="11"/>
    <n v="2023"/>
    <d v="2023-11-19T00:00:00"/>
    <s v="CUST599"/>
    <x v="0"/>
    <n v="28"/>
    <x v="0"/>
    <x v="1"/>
    <n v="2"/>
    <n v="50"/>
    <n v="100"/>
    <n v="2"/>
    <n v="0"/>
  </r>
  <r>
    <n v="884"/>
    <n v="29"/>
    <n v="4"/>
    <n v="2023"/>
    <d v="2023-04-29T00:00:00"/>
    <s v="CUST884"/>
    <x v="0"/>
    <n v="26"/>
    <x v="0"/>
    <x v="0"/>
    <n v="2"/>
    <n v="30"/>
    <n v="60"/>
    <n v="1.2"/>
    <n v="0"/>
  </r>
  <r>
    <n v="234"/>
    <n v="20"/>
    <n v="11"/>
    <n v="2023"/>
    <d v="2023-11-20T00:00:00"/>
    <s v="CUST234"/>
    <x v="0"/>
    <n v="62"/>
    <x v="2"/>
    <x v="2"/>
    <n v="2"/>
    <n v="25"/>
    <n v="50"/>
    <n v="1"/>
    <n v="0"/>
  </r>
  <r>
    <n v="885"/>
    <n v="3"/>
    <n v="3"/>
    <n v="2023"/>
    <d v="2023-03-03T00:00:00"/>
    <s v="CUST885"/>
    <x v="0"/>
    <n v="52"/>
    <x v="2"/>
    <x v="0"/>
    <n v="4"/>
    <n v="30"/>
    <n v="120"/>
    <n v="2.4"/>
    <n v="0"/>
  </r>
  <r>
    <n v="417"/>
    <n v="21"/>
    <n v="11"/>
    <n v="2023"/>
    <d v="2023-11-21T00:00:00"/>
    <s v="CUST417"/>
    <x v="1"/>
    <n v="43"/>
    <x v="1"/>
    <x v="2"/>
    <n v="3"/>
    <n v="300"/>
    <n v="900"/>
    <n v="18"/>
    <n v="0"/>
  </r>
  <r>
    <n v="581"/>
    <n v="21"/>
    <n v="11"/>
    <n v="2023"/>
    <d v="2023-11-21T00:00:00"/>
    <s v="CUST581"/>
    <x v="0"/>
    <n v="48"/>
    <x v="1"/>
    <x v="1"/>
    <n v="2"/>
    <n v="30"/>
    <n v="60"/>
    <n v="1.2"/>
    <n v="0"/>
  </r>
  <r>
    <n v="910"/>
    <n v="6"/>
    <n v="3"/>
    <n v="2023"/>
    <d v="2023-03-06T00:00:00"/>
    <s v="CUST910"/>
    <x v="0"/>
    <n v="20"/>
    <x v="0"/>
    <x v="1"/>
    <n v="3"/>
    <n v="50"/>
    <n v="150"/>
    <n v="3"/>
    <n v="0"/>
  </r>
  <r>
    <n v="87"/>
    <n v="22"/>
    <n v="11"/>
    <n v="2023"/>
    <d v="2023-11-22T00:00:00"/>
    <s v="CUST087"/>
    <x v="0"/>
    <n v="28"/>
    <x v="0"/>
    <x v="1"/>
    <n v="2"/>
    <n v="50"/>
    <n v="100"/>
    <n v="2"/>
    <n v="0"/>
  </r>
  <r>
    <n v="887"/>
    <n v="11"/>
    <n v="6"/>
    <n v="2023"/>
    <d v="2023-06-11T00:00:00"/>
    <s v="CUST887"/>
    <x v="1"/>
    <n v="59"/>
    <x v="2"/>
    <x v="0"/>
    <n v="4"/>
    <n v="25"/>
    <n v="100"/>
    <n v="2"/>
    <n v="0"/>
  </r>
  <r>
    <n v="424"/>
    <n v="23"/>
    <n v="11"/>
    <n v="2023"/>
    <d v="2023-11-23T00:00:00"/>
    <s v="CUST424"/>
    <x v="1"/>
    <n v="57"/>
    <x v="2"/>
    <x v="1"/>
    <n v="4"/>
    <n v="300"/>
    <n v="1200"/>
    <n v="24"/>
    <n v="0"/>
  </r>
  <r>
    <n v="641"/>
    <n v="23"/>
    <n v="11"/>
    <n v="2023"/>
    <d v="2023-11-23T00:00:00"/>
    <s v="CUST641"/>
    <x v="0"/>
    <n v="40"/>
    <x v="1"/>
    <x v="2"/>
    <n v="1"/>
    <n v="300"/>
    <n v="300"/>
    <n v="6"/>
    <n v="0"/>
  </r>
  <r>
    <n v="918"/>
    <n v="23"/>
    <n v="11"/>
    <n v="2023"/>
    <d v="2023-11-23T00:00:00"/>
    <s v="CUST918"/>
    <x v="0"/>
    <n v="42"/>
    <x v="1"/>
    <x v="2"/>
    <n v="3"/>
    <n v="30"/>
    <n v="90"/>
    <n v="1.8"/>
    <n v="0"/>
  </r>
  <r>
    <n v="1"/>
    <n v="24"/>
    <n v="11"/>
    <n v="2023"/>
    <d v="2023-11-24T00:00:00"/>
    <s v="CUST001"/>
    <x v="1"/>
    <n v="34"/>
    <x v="1"/>
    <x v="1"/>
    <n v="3"/>
    <n v="50"/>
    <n v="150"/>
    <n v="3"/>
    <n v="0"/>
  </r>
  <r>
    <n v="895"/>
    <n v="22"/>
    <n v="5"/>
    <n v="2023"/>
    <d v="2023-05-22T00:00:00"/>
    <s v="CUST895"/>
    <x v="0"/>
    <n v="55"/>
    <x v="2"/>
    <x v="0"/>
    <n v="4"/>
    <n v="30"/>
    <n v="120"/>
    <n v="2.4"/>
    <n v="0"/>
  </r>
  <r>
    <n v="898"/>
    <n v="2"/>
    <n v="11"/>
    <n v="2023"/>
    <d v="2023-11-02T00:00:00"/>
    <s v="CUST898"/>
    <x v="0"/>
    <n v="42"/>
    <x v="1"/>
    <x v="0"/>
    <n v="3"/>
    <n v="30"/>
    <n v="90"/>
    <n v="1.8"/>
    <n v="0"/>
  </r>
  <r>
    <n v="899"/>
    <n v="25"/>
    <n v="5"/>
    <n v="2023"/>
    <d v="2023-05-25T00:00:00"/>
    <s v="CUST899"/>
    <x v="1"/>
    <n v="26"/>
    <x v="0"/>
    <x v="0"/>
    <n v="2"/>
    <n v="300"/>
    <n v="600"/>
    <n v="12"/>
    <n v="0"/>
  </r>
  <r>
    <n v="493"/>
    <n v="25"/>
    <n v="11"/>
    <n v="2023"/>
    <d v="2023-11-25T00:00:00"/>
    <s v="CUST493"/>
    <x v="1"/>
    <n v="41"/>
    <x v="1"/>
    <x v="1"/>
    <n v="2"/>
    <n v="25"/>
    <n v="50"/>
    <n v="1"/>
    <n v="0"/>
  </r>
  <r>
    <n v="919"/>
    <n v="9"/>
    <n v="9"/>
    <n v="2023"/>
    <d v="2023-09-09T00:00:00"/>
    <s v="CUST919"/>
    <x v="0"/>
    <n v="22"/>
    <x v="0"/>
    <x v="1"/>
    <n v="2"/>
    <n v="25"/>
    <n v="50"/>
    <n v="1"/>
    <n v="0"/>
  </r>
  <r>
    <n v="715"/>
    <n v="26"/>
    <n v="11"/>
    <n v="2023"/>
    <d v="2023-11-26T00:00:00"/>
    <s v="CUST715"/>
    <x v="0"/>
    <n v="42"/>
    <x v="1"/>
    <x v="1"/>
    <n v="4"/>
    <n v="25"/>
    <n v="100"/>
    <n v="2"/>
    <n v="0"/>
  </r>
  <r>
    <n v="267"/>
    <n v="27"/>
    <n v="11"/>
    <n v="2023"/>
    <d v="2023-11-27T00:00:00"/>
    <s v="CUST267"/>
    <x v="0"/>
    <n v="32"/>
    <x v="1"/>
    <x v="1"/>
    <n v="3"/>
    <n v="30"/>
    <n v="90"/>
    <n v="1.8"/>
    <n v="0"/>
  </r>
  <r>
    <n v="904"/>
    <n v="4"/>
    <n v="7"/>
    <n v="2023"/>
    <d v="2023-07-04T00:00:00"/>
    <s v="CUST904"/>
    <x v="1"/>
    <n v="28"/>
    <x v="0"/>
    <x v="0"/>
    <n v="1"/>
    <n v="500"/>
    <n v="500"/>
    <n v="10"/>
    <n v="0"/>
  </r>
  <r>
    <n v="856"/>
    <n v="27"/>
    <n v="11"/>
    <n v="2023"/>
    <d v="2023-11-27T00:00:00"/>
    <s v="CUST856"/>
    <x v="1"/>
    <n v="54"/>
    <x v="2"/>
    <x v="2"/>
    <n v="4"/>
    <n v="30"/>
    <n v="120"/>
    <n v="2.4"/>
    <n v="0"/>
  </r>
  <r>
    <n v="84"/>
    <n v="28"/>
    <n v="11"/>
    <n v="2023"/>
    <d v="2023-11-28T00:00:00"/>
    <s v="CUST084"/>
    <x v="0"/>
    <n v="38"/>
    <x v="1"/>
    <x v="2"/>
    <n v="3"/>
    <n v="30"/>
    <n v="90"/>
    <n v="1.8"/>
    <n v="0"/>
  </r>
  <r>
    <n v="795"/>
    <n v="28"/>
    <n v="11"/>
    <n v="2023"/>
    <d v="2023-11-28T00:00:00"/>
    <s v="CUST795"/>
    <x v="1"/>
    <n v="57"/>
    <x v="2"/>
    <x v="2"/>
    <n v="1"/>
    <n v="300"/>
    <n v="300"/>
    <n v="6"/>
    <n v="0"/>
  </r>
  <r>
    <n v="926"/>
    <n v="14"/>
    <n v="8"/>
    <n v="2023"/>
    <d v="2023-08-14T00:00:00"/>
    <s v="CUST926"/>
    <x v="1"/>
    <n v="22"/>
    <x v="0"/>
    <x v="2"/>
    <n v="1"/>
    <n v="30"/>
    <n v="30"/>
    <n v="0.6"/>
    <n v="0"/>
  </r>
  <r>
    <n v="928"/>
    <n v="5"/>
    <n v="4"/>
    <n v="2023"/>
    <d v="2023-04-05T00:00:00"/>
    <s v="CUST928"/>
    <x v="0"/>
    <n v="35"/>
    <x v="1"/>
    <x v="0"/>
    <n v="4"/>
    <n v="300"/>
    <n v="1200"/>
    <n v="24"/>
    <n v="0"/>
  </r>
  <r>
    <n v="739"/>
    <n v="29"/>
    <n v="11"/>
    <n v="2023"/>
    <d v="2023-11-29T00:00:00"/>
    <s v="CUST739"/>
    <x v="1"/>
    <n v="36"/>
    <x v="1"/>
    <x v="1"/>
    <n v="1"/>
    <n v="25"/>
    <n v="25"/>
    <n v="0.5"/>
    <n v="0"/>
  </r>
  <r>
    <n v="289"/>
    <n v="30"/>
    <n v="11"/>
    <n v="2023"/>
    <d v="2023-11-30T00:00:00"/>
    <s v="CUST289"/>
    <x v="1"/>
    <n v="53"/>
    <x v="2"/>
    <x v="2"/>
    <n v="2"/>
    <n v="30"/>
    <n v="60"/>
    <n v="1.2"/>
    <n v="0"/>
  </r>
  <r>
    <n v="930"/>
    <n v="10"/>
    <n v="5"/>
    <n v="2023"/>
    <d v="2023-05-10T00:00:00"/>
    <s v="CUST930"/>
    <x v="1"/>
    <n v="54"/>
    <x v="2"/>
    <x v="0"/>
    <n v="4"/>
    <n v="50"/>
    <n v="200"/>
    <n v="4"/>
    <n v="0"/>
  </r>
  <r>
    <n v="810"/>
    <n v="30"/>
    <n v="11"/>
    <n v="2023"/>
    <d v="2023-11-30T00:00:00"/>
    <s v="CUST810"/>
    <x v="1"/>
    <n v="59"/>
    <x v="2"/>
    <x v="2"/>
    <n v="4"/>
    <n v="25"/>
    <n v="100"/>
    <n v="2"/>
    <n v="0"/>
  </r>
  <r>
    <n v="929"/>
    <n v="27"/>
    <n v="1"/>
    <n v="2023"/>
    <d v="2023-01-27T00:00:00"/>
    <s v="CUST929"/>
    <x v="0"/>
    <n v="23"/>
    <x v="0"/>
    <x v="1"/>
    <n v="3"/>
    <n v="25"/>
    <n v="75"/>
    <n v="1.5"/>
    <n v="0"/>
  </r>
  <r>
    <n v="938"/>
    <n v="19"/>
    <n v="11"/>
    <n v="2023"/>
    <d v="2023-11-19T00:00:00"/>
    <s v="CUST938"/>
    <x v="1"/>
    <n v="49"/>
    <x v="1"/>
    <x v="0"/>
    <n v="4"/>
    <n v="50"/>
    <n v="200"/>
    <n v="4"/>
    <n v="0"/>
  </r>
  <r>
    <n v="941"/>
    <n v="19"/>
    <n v="3"/>
    <n v="2023"/>
    <d v="2023-03-19T00:00:00"/>
    <s v="CUST941"/>
    <x v="0"/>
    <n v="57"/>
    <x v="2"/>
    <x v="0"/>
    <n v="2"/>
    <n v="25"/>
    <n v="50"/>
    <n v="1"/>
    <n v="0"/>
  </r>
  <r>
    <n v="942"/>
    <n v="18"/>
    <n v="3"/>
    <n v="2023"/>
    <d v="2023-03-18T00:00:00"/>
    <s v="CUST942"/>
    <x v="1"/>
    <n v="51"/>
    <x v="2"/>
    <x v="0"/>
    <n v="3"/>
    <n v="500"/>
    <n v="1500"/>
    <n v="30"/>
    <n v="0"/>
  </r>
  <r>
    <n v="608"/>
    <n v="2"/>
    <n v="12"/>
    <n v="2023"/>
    <d v="2023-12-02T00:00:00"/>
    <s v="CUST608"/>
    <x v="0"/>
    <n v="55"/>
    <x v="2"/>
    <x v="2"/>
    <n v="3"/>
    <n v="500"/>
    <n v="1500"/>
    <n v="30"/>
    <n v="0"/>
  </r>
  <r>
    <n v="348"/>
    <n v="3"/>
    <n v="12"/>
    <n v="2023"/>
    <d v="2023-12-03T00:00:00"/>
    <s v="CUST348"/>
    <x v="0"/>
    <n v="35"/>
    <x v="1"/>
    <x v="2"/>
    <n v="2"/>
    <n v="300"/>
    <n v="600"/>
    <n v="12"/>
    <n v="0"/>
  </r>
  <r>
    <n v="199"/>
    <n v="4"/>
    <n v="12"/>
    <n v="2023"/>
    <d v="2023-12-04T00:00:00"/>
    <s v="CUST199"/>
    <x v="1"/>
    <n v="45"/>
    <x v="1"/>
    <x v="1"/>
    <n v="3"/>
    <n v="500"/>
    <n v="1500"/>
    <n v="30"/>
    <n v="0"/>
  </r>
  <r>
    <n v="943"/>
    <n v="16"/>
    <n v="10"/>
    <n v="2023"/>
    <d v="2023-10-16T00:00:00"/>
    <s v="CUST943"/>
    <x v="0"/>
    <n v="57"/>
    <x v="2"/>
    <x v="0"/>
    <n v="4"/>
    <n v="300"/>
    <n v="1200"/>
    <n v="24"/>
    <n v="0"/>
  </r>
  <r>
    <n v="933"/>
    <n v="3"/>
    <n v="2"/>
    <n v="2023"/>
    <d v="2023-02-03T00:00:00"/>
    <s v="CUST933"/>
    <x v="1"/>
    <n v="22"/>
    <x v="0"/>
    <x v="1"/>
    <n v="1"/>
    <n v="30"/>
    <n v="30"/>
    <n v="0.6"/>
    <n v="0"/>
  </r>
  <r>
    <n v="576"/>
    <n v="4"/>
    <n v="12"/>
    <n v="2023"/>
    <d v="2023-12-04T00:00:00"/>
    <s v="CUST576"/>
    <x v="0"/>
    <n v="33"/>
    <x v="1"/>
    <x v="1"/>
    <n v="3"/>
    <n v="50"/>
    <n v="150"/>
    <n v="3"/>
    <n v="0"/>
  </r>
  <r>
    <n v="65"/>
    <n v="5"/>
    <n v="12"/>
    <n v="2023"/>
    <d v="2023-12-05T00:00:00"/>
    <s v="CUST065"/>
    <x v="1"/>
    <n v="51"/>
    <x v="2"/>
    <x v="2"/>
    <n v="4"/>
    <n v="500"/>
    <n v="2000"/>
    <n v="40"/>
    <n v="0"/>
  </r>
  <r>
    <n v="311"/>
    <n v="5"/>
    <n v="12"/>
    <n v="2023"/>
    <d v="2023-12-05T00:00:00"/>
    <s v="CUST311"/>
    <x v="0"/>
    <n v="32"/>
    <x v="1"/>
    <x v="1"/>
    <n v="4"/>
    <n v="25"/>
    <n v="100"/>
    <n v="2"/>
    <n v="0"/>
  </r>
  <r>
    <n v="791"/>
    <n v="5"/>
    <n v="12"/>
    <n v="2023"/>
    <d v="2023-12-05T00:00:00"/>
    <s v="CUST791"/>
    <x v="0"/>
    <n v="51"/>
    <x v="2"/>
    <x v="1"/>
    <n v="1"/>
    <n v="25"/>
    <n v="25"/>
    <n v="0.5"/>
    <n v="0"/>
  </r>
  <r>
    <n v="971"/>
    <n v="5"/>
    <n v="12"/>
    <n v="2023"/>
    <d v="2023-12-05T00:00:00"/>
    <s v="CUST971"/>
    <x v="0"/>
    <n v="27"/>
    <x v="0"/>
    <x v="2"/>
    <n v="4"/>
    <n v="50"/>
    <n v="200"/>
    <n v="4"/>
    <n v="0"/>
  </r>
  <r>
    <n v="999"/>
    <n v="5"/>
    <n v="12"/>
    <n v="2023"/>
    <d v="2023-12-05T00:00:00"/>
    <s v="CUST999"/>
    <x v="0"/>
    <n v="36"/>
    <x v="1"/>
    <x v="2"/>
    <n v="3"/>
    <n v="50"/>
    <n v="150"/>
    <n v="3"/>
    <n v="0"/>
  </r>
  <r>
    <n v="395"/>
    <n v="6"/>
    <n v="12"/>
    <n v="2023"/>
    <d v="2023-12-06T00:00:00"/>
    <s v="CUST395"/>
    <x v="1"/>
    <n v="50"/>
    <x v="2"/>
    <x v="2"/>
    <n v="2"/>
    <n v="500"/>
    <n v="1000"/>
    <n v="20"/>
    <n v="0"/>
  </r>
  <r>
    <n v="535"/>
    <n v="6"/>
    <n v="12"/>
    <n v="2023"/>
    <d v="2023-12-06T00:00:00"/>
    <s v="CUST535"/>
    <x v="1"/>
    <n v="47"/>
    <x v="1"/>
    <x v="1"/>
    <n v="3"/>
    <n v="30"/>
    <n v="90"/>
    <n v="1.8"/>
    <n v="0"/>
  </r>
  <r>
    <n v="944"/>
    <n v="5"/>
    <n v="6"/>
    <n v="2023"/>
    <d v="2023-06-05T00:00:00"/>
    <s v="CUST944"/>
    <x v="1"/>
    <n v="44"/>
    <x v="1"/>
    <x v="0"/>
    <n v="2"/>
    <n v="25"/>
    <n v="50"/>
    <n v="1"/>
    <n v="0"/>
  </r>
  <r>
    <n v="712"/>
    <n v="6"/>
    <n v="12"/>
    <n v="2023"/>
    <d v="2023-12-06T00:00:00"/>
    <s v="CUST712"/>
    <x v="0"/>
    <n v="57"/>
    <x v="2"/>
    <x v="1"/>
    <n v="2"/>
    <n v="25"/>
    <n v="50"/>
    <n v="1"/>
    <n v="0"/>
  </r>
  <r>
    <n v="868"/>
    <n v="6"/>
    <n v="12"/>
    <n v="2023"/>
    <d v="2023-12-06T00:00:00"/>
    <s v="CUST868"/>
    <x v="0"/>
    <n v="25"/>
    <x v="0"/>
    <x v="2"/>
    <n v="1"/>
    <n v="300"/>
    <n v="300"/>
    <n v="6"/>
    <n v="0"/>
  </r>
  <r>
    <n v="531"/>
    <n v="7"/>
    <n v="12"/>
    <n v="2023"/>
    <d v="2023-12-07T00:00:00"/>
    <s v="CUST531"/>
    <x v="1"/>
    <n v="31"/>
    <x v="1"/>
    <x v="2"/>
    <n v="1"/>
    <n v="500"/>
    <n v="500"/>
    <n v="10"/>
    <n v="0"/>
  </r>
  <r>
    <n v="950"/>
    <n v="7"/>
    <n v="11"/>
    <n v="2023"/>
    <d v="2023-11-07T00:00:00"/>
    <s v="CUST950"/>
    <x v="1"/>
    <n v="36"/>
    <x v="1"/>
    <x v="0"/>
    <n v="3"/>
    <n v="300"/>
    <n v="900"/>
    <n v="18"/>
    <n v="0"/>
  </r>
  <r>
    <n v="952"/>
    <n v="13"/>
    <n v="11"/>
    <n v="2023"/>
    <d v="2023-11-13T00:00:00"/>
    <s v="CUST952"/>
    <x v="0"/>
    <n v="57"/>
    <x v="2"/>
    <x v="0"/>
    <n v="1"/>
    <n v="25"/>
    <n v="25"/>
    <n v="0.5"/>
    <n v="0"/>
  </r>
  <r>
    <n v="955"/>
    <n v="14"/>
    <n v="7"/>
    <n v="2023"/>
    <d v="2023-07-14T00:00:00"/>
    <s v="CUST955"/>
    <x v="1"/>
    <n v="58"/>
    <x v="2"/>
    <x v="0"/>
    <n v="1"/>
    <n v="25"/>
    <n v="25"/>
    <n v="0.5"/>
    <n v="0"/>
  </r>
  <r>
    <n v="540"/>
    <n v="8"/>
    <n v="12"/>
    <n v="2023"/>
    <d v="2023-12-08T00:00:00"/>
    <s v="CUST540"/>
    <x v="0"/>
    <n v="46"/>
    <x v="1"/>
    <x v="2"/>
    <n v="3"/>
    <n v="300"/>
    <n v="900"/>
    <n v="18"/>
    <n v="0"/>
  </r>
  <r>
    <n v="956"/>
    <n v="19"/>
    <n v="8"/>
    <n v="2023"/>
    <d v="2023-08-19T00:00:00"/>
    <s v="CUST956"/>
    <x v="1"/>
    <n v="30"/>
    <x v="1"/>
    <x v="0"/>
    <n v="3"/>
    <n v="500"/>
    <n v="1500"/>
    <n v="30"/>
    <n v="0"/>
  </r>
  <r>
    <n v="244"/>
    <n v="9"/>
    <n v="12"/>
    <n v="2023"/>
    <d v="2023-12-09T00:00:00"/>
    <s v="CUST244"/>
    <x v="1"/>
    <n v="28"/>
    <x v="0"/>
    <x v="1"/>
    <n v="2"/>
    <n v="50"/>
    <n v="100"/>
    <n v="2"/>
    <n v="0"/>
  </r>
  <r>
    <n v="355"/>
    <n v="9"/>
    <n v="12"/>
    <n v="2023"/>
    <d v="2023-12-09T00:00:00"/>
    <s v="CUST355"/>
    <x v="0"/>
    <n v="55"/>
    <x v="2"/>
    <x v="2"/>
    <n v="1"/>
    <n v="500"/>
    <n v="500"/>
    <n v="10"/>
    <n v="0"/>
  </r>
  <r>
    <n v="468"/>
    <n v="9"/>
    <n v="12"/>
    <n v="2023"/>
    <d v="2023-12-09T00:00:00"/>
    <s v="CUST468"/>
    <x v="1"/>
    <n v="40"/>
    <x v="1"/>
    <x v="2"/>
    <n v="1"/>
    <n v="25"/>
    <n v="25"/>
    <n v="0.5"/>
    <n v="0"/>
  </r>
  <r>
    <n v="700"/>
    <n v="9"/>
    <n v="12"/>
    <n v="2023"/>
    <d v="2023-12-09T00:00:00"/>
    <s v="CUST700"/>
    <x v="1"/>
    <n v="36"/>
    <x v="1"/>
    <x v="2"/>
    <n v="4"/>
    <n v="500"/>
    <n v="2000"/>
    <n v="40"/>
    <n v="0"/>
  </r>
  <r>
    <n v="960"/>
    <n v="8"/>
    <n v="8"/>
    <n v="2023"/>
    <d v="2023-08-08T00:00:00"/>
    <s v="CUST960"/>
    <x v="1"/>
    <n v="59"/>
    <x v="2"/>
    <x v="0"/>
    <n v="2"/>
    <n v="30"/>
    <n v="60"/>
    <n v="1.2"/>
    <n v="0"/>
  </r>
  <r>
    <n v="828"/>
    <n v="9"/>
    <n v="12"/>
    <n v="2023"/>
    <d v="2023-12-09T00:00:00"/>
    <s v="CUST828"/>
    <x v="0"/>
    <n v="33"/>
    <x v="1"/>
    <x v="2"/>
    <n v="4"/>
    <n v="300"/>
    <n v="1200"/>
    <n v="24"/>
    <n v="0"/>
  </r>
  <r>
    <n v="962"/>
    <n v="19"/>
    <n v="10"/>
    <n v="2023"/>
    <d v="2023-10-19T00:00:00"/>
    <s v="CUST962"/>
    <x v="1"/>
    <n v="44"/>
    <x v="1"/>
    <x v="0"/>
    <n v="2"/>
    <n v="30"/>
    <n v="60"/>
    <n v="1.2"/>
    <n v="0"/>
  </r>
  <r>
    <n v="940"/>
    <n v="28"/>
    <n v="1"/>
    <n v="2023"/>
    <d v="2023-01-28T00:00:00"/>
    <s v="CUST940"/>
    <x v="0"/>
    <n v="20"/>
    <x v="0"/>
    <x v="2"/>
    <n v="1"/>
    <n v="30"/>
    <n v="30"/>
    <n v="0.6"/>
    <n v="0"/>
  </r>
  <r>
    <n v="361"/>
    <n v="10"/>
    <n v="12"/>
    <n v="2023"/>
    <d v="2023-12-10T00:00:00"/>
    <s v="CUST361"/>
    <x v="0"/>
    <n v="34"/>
    <x v="1"/>
    <x v="2"/>
    <n v="4"/>
    <n v="300"/>
    <n v="1200"/>
    <n v="24"/>
    <n v="0"/>
  </r>
  <r>
    <n v="948"/>
    <n v="13"/>
    <n v="10"/>
    <n v="2023"/>
    <d v="2023-10-13T00:00:00"/>
    <s v="CUST948"/>
    <x v="0"/>
    <n v="23"/>
    <x v="0"/>
    <x v="2"/>
    <n v="3"/>
    <n v="25"/>
    <n v="75"/>
    <n v="1.5"/>
    <n v="0"/>
  </r>
  <r>
    <n v="964"/>
    <n v="31"/>
    <n v="1"/>
    <n v="2023"/>
    <d v="2023-01-31T00:00:00"/>
    <s v="CUST964"/>
    <x v="1"/>
    <n v="24"/>
    <x v="0"/>
    <x v="0"/>
    <n v="3"/>
    <n v="300"/>
    <n v="900"/>
    <n v="18"/>
    <n v="0"/>
  </r>
  <r>
    <n v="586"/>
    <n v="11"/>
    <n v="12"/>
    <n v="2023"/>
    <d v="2023-12-11T00:00:00"/>
    <s v="CUST586"/>
    <x v="1"/>
    <n v="50"/>
    <x v="2"/>
    <x v="2"/>
    <n v="1"/>
    <n v="50"/>
    <n v="50"/>
    <n v="1"/>
    <n v="0"/>
  </r>
  <r>
    <n v="336"/>
    <n v="12"/>
    <n v="12"/>
    <n v="2023"/>
    <d v="2023-12-12T00:00:00"/>
    <s v="CUST336"/>
    <x v="0"/>
    <n v="52"/>
    <x v="2"/>
    <x v="1"/>
    <n v="3"/>
    <n v="50"/>
    <n v="150"/>
    <n v="3"/>
    <n v="0"/>
  </r>
  <r>
    <n v="571"/>
    <n v="12"/>
    <n v="12"/>
    <n v="2023"/>
    <d v="2023-12-12T00:00:00"/>
    <s v="CUST571"/>
    <x v="0"/>
    <n v="41"/>
    <x v="1"/>
    <x v="2"/>
    <n v="1"/>
    <n v="50"/>
    <n v="50"/>
    <n v="1"/>
    <n v="0"/>
  </r>
  <r>
    <n v="9"/>
    <n v="13"/>
    <n v="12"/>
    <n v="2023"/>
    <d v="2023-12-13T00:00:00"/>
    <s v="CUST009"/>
    <x v="1"/>
    <n v="63"/>
    <x v="2"/>
    <x v="2"/>
    <n v="2"/>
    <n v="300"/>
    <n v="600"/>
    <n v="12"/>
    <n v="0"/>
  </r>
  <r>
    <n v="552"/>
    <n v="13"/>
    <n v="12"/>
    <n v="2023"/>
    <d v="2023-12-13T00:00:00"/>
    <s v="CUST552"/>
    <x v="0"/>
    <n v="49"/>
    <x v="1"/>
    <x v="2"/>
    <n v="3"/>
    <n v="25"/>
    <n v="75"/>
    <n v="1.5"/>
    <n v="0"/>
  </r>
  <r>
    <n v="965"/>
    <n v="9"/>
    <n v="11"/>
    <n v="2023"/>
    <d v="2023-11-09T00:00:00"/>
    <s v="CUST965"/>
    <x v="1"/>
    <n v="22"/>
    <x v="0"/>
    <x v="0"/>
    <n v="4"/>
    <n v="50"/>
    <n v="200"/>
    <n v="4"/>
    <n v="0"/>
  </r>
  <r>
    <n v="968"/>
    <n v="17"/>
    <n v="11"/>
    <n v="2023"/>
    <d v="2023-11-17T00:00:00"/>
    <s v="CUST968"/>
    <x v="0"/>
    <n v="48"/>
    <x v="1"/>
    <x v="0"/>
    <n v="3"/>
    <n v="300"/>
    <n v="900"/>
    <n v="18"/>
    <n v="0"/>
  </r>
  <r>
    <n v="701"/>
    <n v="14"/>
    <n v="12"/>
    <n v="2023"/>
    <d v="2023-12-14T00:00:00"/>
    <s v="CUST701"/>
    <x v="0"/>
    <n v="52"/>
    <x v="2"/>
    <x v="1"/>
    <n v="2"/>
    <n v="30"/>
    <n v="60"/>
    <n v="1.2"/>
    <n v="0"/>
  </r>
  <r>
    <n v="139"/>
    <n v="15"/>
    <n v="12"/>
    <n v="2023"/>
    <d v="2023-12-15T00:00:00"/>
    <s v="CUST139"/>
    <x v="1"/>
    <n v="36"/>
    <x v="1"/>
    <x v="1"/>
    <n v="4"/>
    <n v="500"/>
    <n v="2000"/>
    <n v="40"/>
    <n v="0"/>
  </r>
  <r>
    <n v="969"/>
    <n v="19"/>
    <n v="4"/>
    <n v="2023"/>
    <d v="2023-04-19T00:00:00"/>
    <s v="CUST969"/>
    <x v="0"/>
    <n v="40"/>
    <x v="1"/>
    <x v="0"/>
    <n v="3"/>
    <n v="300"/>
    <n v="900"/>
    <n v="18"/>
    <n v="0"/>
  </r>
  <r>
    <n v="83"/>
    <n v="16"/>
    <n v="12"/>
    <n v="2023"/>
    <d v="2023-12-16T00:00:00"/>
    <s v="CUST083"/>
    <x v="1"/>
    <n v="54"/>
    <x v="2"/>
    <x v="2"/>
    <n v="2"/>
    <n v="50"/>
    <n v="100"/>
    <n v="2"/>
    <n v="0"/>
  </r>
  <r>
    <n v="153"/>
    <n v="16"/>
    <n v="12"/>
    <n v="2023"/>
    <d v="2023-12-16T00:00:00"/>
    <s v="CUST153"/>
    <x v="1"/>
    <n v="63"/>
    <x v="2"/>
    <x v="2"/>
    <n v="2"/>
    <n v="500"/>
    <n v="1000"/>
    <n v="20"/>
    <n v="0"/>
  </r>
  <r>
    <n v="451"/>
    <n v="16"/>
    <n v="12"/>
    <n v="2023"/>
    <d v="2023-12-16T00:00:00"/>
    <s v="CUST451"/>
    <x v="0"/>
    <n v="45"/>
    <x v="1"/>
    <x v="2"/>
    <n v="1"/>
    <n v="30"/>
    <n v="30"/>
    <n v="0.6"/>
    <n v="0"/>
  </r>
  <r>
    <n v="99"/>
    <n v="17"/>
    <n v="12"/>
    <n v="2023"/>
    <d v="2023-12-17T00:00:00"/>
    <s v="CUST099"/>
    <x v="0"/>
    <n v="50"/>
    <x v="2"/>
    <x v="2"/>
    <n v="4"/>
    <n v="300"/>
    <n v="1200"/>
    <n v="24"/>
    <n v="0"/>
  </r>
  <r>
    <n v="973"/>
    <n v="22"/>
    <n v="3"/>
    <n v="2023"/>
    <d v="2023-03-22T00:00:00"/>
    <s v="CUST973"/>
    <x v="1"/>
    <n v="60"/>
    <x v="2"/>
    <x v="0"/>
    <n v="1"/>
    <n v="50"/>
    <n v="50"/>
    <n v="1"/>
    <n v="0"/>
  </r>
  <r>
    <n v="979"/>
    <n v="2"/>
    <n v="1"/>
    <n v="2023"/>
    <d v="2023-01-02T00:00:00"/>
    <s v="CUST979"/>
    <x v="0"/>
    <n v="19"/>
    <x v="0"/>
    <x v="1"/>
    <n v="1"/>
    <n v="25"/>
    <n v="25"/>
    <n v="0.5"/>
    <n v="0"/>
  </r>
  <r>
    <n v="525"/>
    <n v="18"/>
    <n v="12"/>
    <n v="2023"/>
    <d v="2023-12-18T00:00:00"/>
    <s v="CUST525"/>
    <x v="0"/>
    <n v="47"/>
    <x v="1"/>
    <x v="1"/>
    <n v="2"/>
    <n v="25"/>
    <n v="50"/>
    <n v="1"/>
    <n v="0"/>
  </r>
  <r>
    <n v="939"/>
    <n v="18"/>
    <n v="12"/>
    <n v="2023"/>
    <d v="2023-12-18T00:00:00"/>
    <s v="CUST939"/>
    <x v="0"/>
    <n v="46"/>
    <x v="1"/>
    <x v="2"/>
    <n v="1"/>
    <n v="300"/>
    <n v="300"/>
    <n v="6"/>
    <n v="0"/>
  </r>
  <r>
    <n v="994"/>
    <n v="18"/>
    <n v="12"/>
    <n v="2023"/>
    <d v="2023-12-18T00:00:00"/>
    <s v="CUST994"/>
    <x v="0"/>
    <n v="51"/>
    <x v="2"/>
    <x v="1"/>
    <n v="2"/>
    <n v="500"/>
    <n v="1000"/>
    <n v="20"/>
    <n v="0"/>
  </r>
  <r>
    <n v="975"/>
    <n v="30"/>
    <n v="3"/>
    <n v="2023"/>
    <d v="2023-03-30T00:00:00"/>
    <s v="CUST975"/>
    <x v="0"/>
    <n v="56"/>
    <x v="2"/>
    <x v="0"/>
    <n v="4"/>
    <n v="50"/>
    <n v="200"/>
    <n v="4"/>
    <n v="0"/>
  </r>
  <r>
    <n v="978"/>
    <n v="22"/>
    <n v="3"/>
    <n v="2023"/>
    <d v="2023-03-22T00:00:00"/>
    <s v="CUST978"/>
    <x v="0"/>
    <n v="53"/>
    <x v="2"/>
    <x v="0"/>
    <n v="3"/>
    <n v="50"/>
    <n v="150"/>
    <n v="3"/>
    <n v="0"/>
  </r>
  <r>
    <n v="982"/>
    <n v="19"/>
    <n v="12"/>
    <n v="2023"/>
    <d v="2023-12-19T00:00:00"/>
    <s v="CUST982"/>
    <x v="0"/>
    <n v="46"/>
    <x v="1"/>
    <x v="1"/>
    <n v="3"/>
    <n v="30"/>
    <n v="90"/>
    <n v="1.8"/>
    <n v="0"/>
  </r>
  <r>
    <n v="209"/>
    <n v="20"/>
    <n v="12"/>
    <n v="2023"/>
    <d v="2023-12-20T00:00:00"/>
    <s v="CUST209"/>
    <x v="0"/>
    <n v="30"/>
    <x v="1"/>
    <x v="2"/>
    <n v="4"/>
    <n v="50"/>
    <n v="200"/>
    <n v="4"/>
    <n v="0"/>
  </r>
  <r>
    <n v="435"/>
    <n v="20"/>
    <n v="12"/>
    <n v="2023"/>
    <d v="2023-12-20T00:00:00"/>
    <s v="CUST435"/>
    <x v="0"/>
    <n v="30"/>
    <x v="1"/>
    <x v="1"/>
    <n v="3"/>
    <n v="300"/>
    <n v="900"/>
    <n v="18"/>
    <n v="0"/>
  </r>
  <r>
    <n v="777"/>
    <n v="20"/>
    <n v="12"/>
    <n v="2023"/>
    <d v="2023-12-20T00:00:00"/>
    <s v="CUST777"/>
    <x v="1"/>
    <n v="48"/>
    <x v="1"/>
    <x v="2"/>
    <n v="3"/>
    <n v="50"/>
    <n v="150"/>
    <n v="3"/>
    <n v="0"/>
  </r>
  <r>
    <n v="983"/>
    <n v="1"/>
    <n v="11"/>
    <n v="2023"/>
    <d v="2023-11-01T00:00:00"/>
    <s v="CUST983"/>
    <x v="0"/>
    <n v="29"/>
    <x v="0"/>
    <x v="0"/>
    <n v="1"/>
    <n v="300"/>
    <n v="300"/>
    <n v="6"/>
    <n v="0"/>
  </r>
  <r>
    <n v="890"/>
    <n v="20"/>
    <n v="12"/>
    <n v="2023"/>
    <d v="2023-12-20T00:00:00"/>
    <s v="CUST890"/>
    <x v="1"/>
    <n v="34"/>
    <x v="1"/>
    <x v="2"/>
    <n v="2"/>
    <n v="25"/>
    <n v="50"/>
    <n v="1"/>
    <n v="0"/>
  </r>
  <r>
    <n v="984"/>
    <n v="29"/>
    <n v="8"/>
    <n v="2023"/>
    <d v="2023-08-29T00:00:00"/>
    <s v="CUST984"/>
    <x v="1"/>
    <n v="56"/>
    <x v="2"/>
    <x v="0"/>
    <n v="1"/>
    <n v="500"/>
    <n v="500"/>
    <n v="10"/>
    <n v="0"/>
  </r>
  <r>
    <n v="662"/>
    <n v="22"/>
    <n v="12"/>
    <n v="2023"/>
    <d v="2023-12-22T00:00:00"/>
    <s v="CUST662"/>
    <x v="1"/>
    <n v="48"/>
    <x v="1"/>
    <x v="1"/>
    <n v="2"/>
    <n v="500"/>
    <n v="1000"/>
    <n v="20"/>
    <n v="0"/>
  </r>
  <r>
    <n v="309"/>
    <n v="23"/>
    <n v="12"/>
    <n v="2023"/>
    <d v="2023-12-23T00:00:00"/>
    <s v="CUST309"/>
    <x v="0"/>
    <n v="26"/>
    <x v="0"/>
    <x v="1"/>
    <n v="1"/>
    <n v="25"/>
    <n v="25"/>
    <n v="0.5"/>
    <n v="0"/>
  </r>
  <r>
    <n v="544"/>
    <n v="23"/>
    <n v="12"/>
    <n v="2023"/>
    <d v="2023-12-23T00:00:00"/>
    <s v="CUST544"/>
    <x v="0"/>
    <n v="27"/>
    <x v="0"/>
    <x v="2"/>
    <n v="1"/>
    <n v="25"/>
    <n v="25"/>
    <n v="0.5"/>
    <n v="0"/>
  </r>
  <r>
    <n v="985"/>
    <n v="30"/>
    <n v="5"/>
    <n v="2023"/>
    <d v="2023-05-30T00:00:00"/>
    <s v="CUST985"/>
    <x v="0"/>
    <n v="19"/>
    <x v="0"/>
    <x v="2"/>
    <n v="2"/>
    <n v="25"/>
    <n v="50"/>
    <n v="1"/>
    <n v="0"/>
  </r>
  <r>
    <n v="986"/>
    <n v="17"/>
    <n v="1"/>
    <n v="2023"/>
    <d v="2023-01-17T00:00:00"/>
    <s v="CUST986"/>
    <x v="0"/>
    <n v="49"/>
    <x v="1"/>
    <x v="0"/>
    <n v="2"/>
    <n v="500"/>
    <n v="1000"/>
    <n v="20"/>
    <n v="0"/>
  </r>
  <r>
    <n v="678"/>
    <n v="23"/>
    <n v="12"/>
    <n v="2023"/>
    <d v="2023-12-23T00:00:00"/>
    <s v="CUST678"/>
    <x v="0"/>
    <n v="60"/>
    <x v="2"/>
    <x v="2"/>
    <n v="3"/>
    <n v="300"/>
    <n v="900"/>
    <n v="18"/>
    <n v="0"/>
  </r>
  <r>
    <n v="781"/>
    <n v="23"/>
    <n v="12"/>
    <n v="2023"/>
    <d v="2023-12-23T00:00:00"/>
    <s v="CUST781"/>
    <x v="1"/>
    <n v="35"/>
    <x v="1"/>
    <x v="1"/>
    <n v="1"/>
    <n v="500"/>
    <n v="500"/>
    <n v="10"/>
    <n v="0"/>
  </r>
  <r>
    <n v="987"/>
    <n v="29"/>
    <n v="4"/>
    <n v="2023"/>
    <d v="2023-04-29T00:00:00"/>
    <s v="CUST987"/>
    <x v="0"/>
    <n v="30"/>
    <x v="1"/>
    <x v="0"/>
    <n v="3"/>
    <n v="300"/>
    <n v="900"/>
    <n v="18"/>
    <n v="0"/>
  </r>
  <r>
    <n v="916"/>
    <n v="24"/>
    <n v="12"/>
    <n v="2023"/>
    <d v="2023-12-24T00:00:00"/>
    <s v="CUST916"/>
    <x v="0"/>
    <n v="32"/>
    <x v="1"/>
    <x v="2"/>
    <n v="1"/>
    <n v="50"/>
    <n v="50"/>
    <n v="1"/>
    <n v="0"/>
  </r>
  <r>
    <n v="757"/>
    <n v="25"/>
    <n v="12"/>
    <n v="2023"/>
    <d v="2023-12-25T00:00:00"/>
    <s v="CUST757"/>
    <x v="0"/>
    <n v="43"/>
    <x v="1"/>
    <x v="2"/>
    <n v="4"/>
    <n v="300"/>
    <n v="1200"/>
    <n v="24"/>
    <n v="0"/>
  </r>
  <r>
    <n v="25"/>
    <n v="26"/>
    <n v="12"/>
    <n v="2023"/>
    <d v="2023-12-26T00:00:00"/>
    <s v="CUST025"/>
    <x v="0"/>
    <n v="64"/>
    <x v="2"/>
    <x v="1"/>
    <n v="1"/>
    <n v="50"/>
    <n v="50"/>
    <n v="1"/>
    <n v="0"/>
  </r>
  <r>
    <n v="82"/>
    <n v="26"/>
    <n v="12"/>
    <n v="2023"/>
    <d v="2023-12-26T00:00:00"/>
    <s v="CUST082"/>
    <x v="0"/>
    <n v="32"/>
    <x v="1"/>
    <x v="1"/>
    <n v="4"/>
    <n v="50"/>
    <n v="200"/>
    <n v="4"/>
    <n v="0"/>
  </r>
  <r>
    <n v="472"/>
    <n v="26"/>
    <n v="12"/>
    <n v="2023"/>
    <d v="2023-12-26T00:00:00"/>
    <s v="CUST472"/>
    <x v="0"/>
    <n v="38"/>
    <x v="1"/>
    <x v="1"/>
    <n v="3"/>
    <n v="300"/>
    <n v="900"/>
    <n v="18"/>
    <n v="0"/>
  </r>
  <r>
    <n v="988"/>
    <n v="28"/>
    <n v="5"/>
    <n v="2023"/>
    <d v="2023-05-28T00:00:00"/>
    <s v="CUST988"/>
    <x v="0"/>
    <n v="63"/>
    <x v="2"/>
    <x v="0"/>
    <n v="3"/>
    <n v="25"/>
    <n v="75"/>
    <n v="1.5"/>
    <n v="0"/>
  </r>
  <r>
    <n v="991"/>
    <n v="26"/>
    <n v="12"/>
    <n v="2023"/>
    <d v="2023-12-26T00:00:00"/>
    <s v="CUST991"/>
    <x v="0"/>
    <n v="34"/>
    <x v="1"/>
    <x v="0"/>
    <n v="2"/>
    <n v="50"/>
    <n v="100"/>
    <n v="2"/>
    <n v="0"/>
  </r>
  <r>
    <n v="995"/>
    <n v="30"/>
    <n v="4"/>
    <n v="2023"/>
    <d v="2023-04-30T00:00:00"/>
    <s v="CUST995"/>
    <x v="0"/>
    <n v="41"/>
    <x v="1"/>
    <x v="0"/>
    <n v="1"/>
    <n v="30"/>
    <n v="30"/>
    <n v="0.6"/>
    <n v="0"/>
  </r>
  <r>
    <n v="998"/>
    <n v="29"/>
    <n v="10"/>
    <n v="2023"/>
    <d v="2023-10-29T00:00:00"/>
    <s v="CUST998"/>
    <x v="0"/>
    <n v="23"/>
    <x v="0"/>
    <x v="1"/>
    <n v="4"/>
    <n v="25"/>
    <n v="100"/>
    <n v="2"/>
    <n v="0"/>
  </r>
  <r>
    <n v="386"/>
    <n v="27"/>
    <n v="12"/>
    <n v="2023"/>
    <d v="2023-12-27T00:00:00"/>
    <s v="CUST386"/>
    <x v="0"/>
    <n v="54"/>
    <x v="2"/>
    <x v="2"/>
    <n v="2"/>
    <n v="300"/>
    <n v="600"/>
    <n v="12"/>
    <n v="0"/>
  </r>
  <r>
    <n v="429"/>
    <n v="28"/>
    <n v="12"/>
    <n v="2023"/>
    <d v="2023-12-28T00:00:00"/>
    <s v="CUST429"/>
    <x v="1"/>
    <n v="64"/>
    <x v="2"/>
    <x v="2"/>
    <n v="2"/>
    <n v="25"/>
    <n v="50"/>
    <n v="1"/>
    <n v="0"/>
  </r>
  <r>
    <n v="996"/>
    <n v="16"/>
    <n v="5"/>
    <n v="2023"/>
    <d v="2023-05-16T00:00:00"/>
    <s v="CUST996"/>
    <x v="1"/>
    <n v="62"/>
    <x v="2"/>
    <x v="0"/>
    <n v="1"/>
    <n v="50"/>
    <n v="50"/>
    <n v="1"/>
    <n v="0"/>
  </r>
  <r>
    <n v="989"/>
    <n v="28"/>
    <n v="12"/>
    <n v="2023"/>
    <d v="2023-12-28T00:00:00"/>
    <s v="CUST989"/>
    <x v="0"/>
    <n v="44"/>
    <x v="1"/>
    <x v="2"/>
    <n v="1"/>
    <n v="25"/>
    <n v="25"/>
    <n v="0.5"/>
    <n v="0"/>
  </r>
  <r>
    <n v="233"/>
    <n v="29"/>
    <n v="12"/>
    <n v="2023"/>
    <d v="2023-12-29T00:00:00"/>
    <s v="CUST233"/>
    <x v="0"/>
    <n v="51"/>
    <x v="2"/>
    <x v="1"/>
    <n v="2"/>
    <n v="300"/>
    <n v="600"/>
    <n v="12"/>
    <n v="0"/>
  </r>
  <r>
    <n v="520"/>
    <n v="29"/>
    <n v="12"/>
    <n v="2023"/>
    <d v="2023-12-29T00:00:00"/>
    <s v="CUST520"/>
    <x v="0"/>
    <n v="49"/>
    <x v="1"/>
    <x v="2"/>
    <n v="4"/>
    <n v="25"/>
    <n v="100"/>
    <n v="2"/>
    <n v="0"/>
  </r>
  <r>
    <n v="805"/>
    <n v="29"/>
    <n v="12"/>
    <n v="2023"/>
    <d v="2023-12-29T00:00:00"/>
    <s v="CUST805"/>
    <x v="0"/>
    <n v="30"/>
    <x v="1"/>
    <x v="1"/>
    <n v="3"/>
    <n v="500"/>
    <n v="1500"/>
    <n v="30"/>
    <n v="0"/>
  </r>
  <r>
    <n v="908"/>
    <n v="29"/>
    <n v="12"/>
    <n v="2023"/>
    <d v="2023-12-29T00:00:00"/>
    <s v="CUST908"/>
    <x v="1"/>
    <n v="46"/>
    <x v="1"/>
    <x v="1"/>
    <n v="4"/>
    <n v="300"/>
    <n v="1200"/>
    <n v="24"/>
    <n v="0"/>
  </r>
  <r>
    <n v="857"/>
    <n v="31"/>
    <n v="12"/>
    <n v="2023"/>
    <d v="2023-12-31T00:00:00"/>
    <s v="CUST857"/>
    <x v="1"/>
    <n v="60"/>
    <x v="2"/>
    <x v="2"/>
    <n v="2"/>
    <n v="25"/>
    <n v="50"/>
    <n v="1"/>
    <n v="0"/>
  </r>
  <r>
    <n v="211"/>
    <n v="1"/>
    <n v="1"/>
    <n v="2024"/>
    <d v="2024-01-01T00:00:00"/>
    <s v="CUST211"/>
    <x v="1"/>
    <n v="42"/>
    <x v="1"/>
    <x v="1"/>
    <n v="3"/>
    <n v="500"/>
    <n v="1500"/>
    <n v="30"/>
    <n v="0"/>
  </r>
  <r>
    <n v="650"/>
    <n v="1"/>
    <n v="1"/>
    <n v="2024"/>
    <d v="2024-01-01T00:00:00"/>
    <s v="CUST650"/>
    <x v="1"/>
    <n v="55"/>
    <x v="2"/>
    <x v="2"/>
    <n v="1"/>
    <n v="30"/>
    <n v="30"/>
    <n v="0.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513F5-37AA-4C6E-A18F-0F944A259474}" name="PivotTable1" cacheId="8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C804B-71CC-4D0F-8306-41ED70883DB3}" name="PivotTable2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D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B87EC-C6FF-44BA-84A2-026052005954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528154C0-AA37-4590-BCAF-4BC65BE0F34B}" sourceName="Generation">
  <pivotTables>
    <pivotTable tabId="6" name="PivotTable1"/>
  </pivotTables>
  <data>
    <tabular pivotCacheId="659380317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110429C8-3BB7-4F7B-875A-DCD8EF985051}" sourceName="Product Category">
  <pivotTables>
    <pivotTable tabId="6" name="PivotTable1"/>
  </pivotTables>
  <data>
    <tabular pivotCacheId="659380317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CEE226AD-37D7-4F8D-BF42-F2FD5CC63FF0}" sourceName="Gender">
  <pivotTables>
    <pivotTable tabId="6" name="PivotTable1"/>
  </pivotTables>
  <data>
    <tabular pivotCacheId="659380317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" xr10:uid="{93C9C65E-2756-4135-BFA5-1FE57903AA4A}" cache="Slicer_Generation" caption="Generation" rowHeight="228600"/>
  <slicer name="Product Category" xr10:uid="{E49DE39B-0214-44AB-9AE8-7A4378B416D4}" cache="Slicer_Product_Category" caption="Product Category" rowHeight="228600"/>
  <slicer name="Gender" xr10:uid="{60EAB749-D1DD-4980-B77D-F0A46D344C8E}" cache="Slicer_Gender" caption="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E694-08B9-4FA2-A8D2-0F372FE644DE}">
  <dimension ref="A3:B7"/>
  <sheetViews>
    <sheetView workbookViewId="0">
      <selection activeCell="A8" sqref="A8"/>
    </sheetView>
  </sheetViews>
  <sheetFormatPr defaultRowHeight="15.75"/>
  <cols>
    <col min="1" max="1" width="18.375" bestFit="1" customWidth="1"/>
    <col min="2" max="5" width="12.125" bestFit="1" customWidth="1"/>
  </cols>
  <sheetData>
    <row r="3" spans="1:2">
      <c r="A3" s="21" t="s">
        <v>0</v>
      </c>
      <c r="B3" t="s">
        <v>1</v>
      </c>
    </row>
    <row r="4" spans="1:2">
      <c r="A4" t="s">
        <v>2</v>
      </c>
      <c r="B4" s="17">
        <v>143515</v>
      </c>
    </row>
    <row r="5" spans="1:2">
      <c r="A5" t="s">
        <v>3</v>
      </c>
      <c r="B5" s="17">
        <v>155580</v>
      </c>
    </row>
    <row r="6" spans="1:2">
      <c r="A6" t="s">
        <v>4</v>
      </c>
      <c r="B6" s="17">
        <v>156905</v>
      </c>
    </row>
    <row r="7" spans="1:2">
      <c r="A7" t="s">
        <v>5</v>
      </c>
      <c r="B7" s="17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CFE0-EF07-4F6D-93E1-51901666F120}">
  <dimension ref="A3:D8"/>
  <sheetViews>
    <sheetView workbookViewId="0">
      <selection activeCell="C6" sqref="C6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12.125" bestFit="1" customWidth="1"/>
    <col min="6" max="8" width="11.125" bestFit="1" customWidth="1"/>
    <col min="9" max="10" width="12.125" bestFit="1" customWidth="1"/>
  </cols>
  <sheetData>
    <row r="3" spans="1:4">
      <c r="A3" s="21" t="s">
        <v>1</v>
      </c>
      <c r="B3" s="21" t="s">
        <v>6</v>
      </c>
    </row>
    <row r="4" spans="1:4">
      <c r="A4" s="21" t="s">
        <v>0</v>
      </c>
      <c r="B4" t="s">
        <v>7</v>
      </c>
      <c r="C4" t="s">
        <v>8</v>
      </c>
      <c r="D4" t="s">
        <v>5</v>
      </c>
    </row>
    <row r="5" spans="1:4">
      <c r="A5" t="s">
        <v>2</v>
      </c>
      <c r="B5" s="14">
        <v>0.16410087719298247</v>
      </c>
      <c r="C5" s="14">
        <v>0.15062500000000001</v>
      </c>
      <c r="D5" s="14">
        <v>0.31472587719298245</v>
      </c>
    </row>
    <row r="6" spans="1:4">
      <c r="A6" t="s">
        <v>3</v>
      </c>
      <c r="B6" s="14">
        <v>0.17823464912280701</v>
      </c>
      <c r="C6" s="14">
        <v>0.16294956140350877</v>
      </c>
      <c r="D6" s="14">
        <v>0.34118421052631581</v>
      </c>
    </row>
    <row r="7" spans="1:4">
      <c r="A7" t="s">
        <v>4</v>
      </c>
      <c r="B7" s="14">
        <v>0.16827850877192982</v>
      </c>
      <c r="C7" s="14">
        <v>0.17581140350877192</v>
      </c>
      <c r="D7" s="14">
        <v>0.34408991228070174</v>
      </c>
    </row>
    <row r="8" spans="1:4">
      <c r="A8" t="s">
        <v>5</v>
      </c>
      <c r="B8" s="14">
        <v>0.5106140350877193</v>
      </c>
      <c r="C8" s="14">
        <v>0.4893859649122807</v>
      </c>
      <c r="D8" s="1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EB60-213D-46DC-B95B-FB00EDDA5414}">
  <dimension ref="A3:E8"/>
  <sheetViews>
    <sheetView topLeftCell="A5" workbookViewId="0">
      <selection activeCell="B5" sqref="B5"/>
    </sheetView>
  </sheetViews>
  <sheetFormatPr defaultRowHeight="15.75"/>
  <cols>
    <col min="1" max="1" width="18.375" bestFit="1" customWidth="1"/>
    <col min="2" max="2" width="13.25" bestFit="1" customWidth="1"/>
    <col min="3" max="3" width="7" bestFit="1" customWidth="1"/>
    <col min="4" max="4" width="11.25" bestFit="1" customWidth="1"/>
    <col min="5" max="5" width="10.75" bestFit="1" customWidth="1"/>
  </cols>
  <sheetData>
    <row r="3" spans="1:5">
      <c r="A3" s="21" t="s">
        <v>1</v>
      </c>
      <c r="B3" s="21" t="s">
        <v>9</v>
      </c>
    </row>
    <row r="4" spans="1:5">
      <c r="A4" s="21" t="s">
        <v>0</v>
      </c>
      <c r="B4" t="s">
        <v>10</v>
      </c>
      <c r="C4" t="s">
        <v>11</v>
      </c>
      <c r="D4" t="s">
        <v>12</v>
      </c>
      <c r="E4" t="s">
        <v>5</v>
      </c>
    </row>
    <row r="5" spans="1:5">
      <c r="A5" t="s">
        <v>2</v>
      </c>
      <c r="B5" s="14">
        <v>0.14918859649122806</v>
      </c>
      <c r="C5" s="14">
        <v>7.4747807017543855E-2</v>
      </c>
      <c r="D5" s="14">
        <v>9.0789473684210531E-2</v>
      </c>
      <c r="E5" s="14">
        <v>0.31472587719298245</v>
      </c>
    </row>
    <row r="6" spans="1:5">
      <c r="A6" t="s">
        <v>3</v>
      </c>
      <c r="B6" s="14">
        <v>0.13675438596491227</v>
      </c>
      <c r="C6" s="14">
        <v>0.10322368421052631</v>
      </c>
      <c r="D6" s="14">
        <v>0.10120614035087719</v>
      </c>
      <c r="E6" s="14">
        <v>0.34118421052631581</v>
      </c>
    </row>
    <row r="7" spans="1:5">
      <c r="A7" t="s">
        <v>4</v>
      </c>
      <c r="B7" s="14">
        <v>0.13004385964912279</v>
      </c>
      <c r="C7" s="14">
        <v>0.13596491228070176</v>
      </c>
      <c r="D7" s="14">
        <v>7.8081140350877196E-2</v>
      </c>
      <c r="E7" s="14">
        <v>0.34408991228070174</v>
      </c>
    </row>
    <row r="8" spans="1:5">
      <c r="A8" t="s">
        <v>5</v>
      </c>
      <c r="B8" s="14">
        <v>0.41598684210526315</v>
      </c>
      <c r="C8" s="14">
        <v>0.31393640350877194</v>
      </c>
      <c r="D8" s="14">
        <v>0.2700767543859649</v>
      </c>
      <c r="E8" s="14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C1" workbookViewId="0">
      <selection activeCell="P12" sqref="P12"/>
    </sheetView>
  </sheetViews>
  <sheetFormatPr defaultColWidth="11.25" defaultRowHeight="15.75"/>
  <cols>
    <col min="1" max="4" width="14.75" customWidth="1"/>
    <col min="5" max="5" width="10.5" bestFit="1" customWidth="1"/>
    <col min="6" max="6" width="13" customWidth="1"/>
    <col min="10" max="10" width="17.125" customWidth="1"/>
    <col min="12" max="12" width="14.125" style="17" customWidth="1"/>
    <col min="13" max="13" width="11.25" style="17"/>
    <col min="14" max="14" width="15.125" style="17" customWidth="1"/>
    <col min="15" max="15" width="15.375" customWidth="1"/>
    <col min="16" max="16" width="14.75" customWidth="1"/>
    <col min="17" max="17" width="15.75" customWidth="1"/>
  </cols>
  <sheetData>
    <row r="1" spans="1:21">
      <c r="A1" s="8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6</v>
      </c>
      <c r="H1" s="9" t="s">
        <v>19</v>
      </c>
      <c r="I1" s="9" t="s">
        <v>9</v>
      </c>
      <c r="J1" s="9" t="s">
        <v>0</v>
      </c>
      <c r="K1" s="9" t="s">
        <v>20</v>
      </c>
      <c r="L1" s="15" t="s">
        <v>21</v>
      </c>
      <c r="M1" s="15" t="s">
        <v>22</v>
      </c>
      <c r="N1" s="15" t="s">
        <v>23</v>
      </c>
      <c r="O1" s="10" t="s">
        <v>24</v>
      </c>
      <c r="P1" t="s">
        <v>25</v>
      </c>
    </row>
    <row r="2" spans="1:21">
      <c r="A2" s="2">
        <v>1</v>
      </c>
      <c r="B2" s="4">
        <f>VLOOKUP(A2,retail_sales_dataset!$1:$1048576, 13, FALSE)</f>
        <v>150</v>
      </c>
      <c r="C2" s="4">
        <f>MONTH(E2)</f>
        <v>11</v>
      </c>
      <c r="D2" s="4">
        <f>YEAR(E2)</f>
        <v>2023</v>
      </c>
      <c r="E2" s="3">
        <v>45254</v>
      </c>
      <c r="F2" s="4" t="s">
        <v>26</v>
      </c>
      <c r="G2" s="4" t="s">
        <v>8</v>
      </c>
      <c r="H2" s="4">
        <v>34</v>
      </c>
      <c r="I2" s="4" t="str" cm="1">
        <f t="array" ref="I2">_xlfn.IFS(H2&lt;30, "Young Adult", H2&lt;50, "Adult", H2&gt;=50, "Senior")</f>
        <v>Adult</v>
      </c>
      <c r="J2" s="4" t="s">
        <v>2</v>
      </c>
      <c r="K2" s="4">
        <v>3</v>
      </c>
      <c r="L2" s="16">
        <v>50</v>
      </c>
      <c r="M2" s="16">
        <f xml:space="preserve"> K2 * L2</f>
        <v>150</v>
      </c>
      <c r="N2" s="16">
        <f>M2 * $Q$3</f>
        <v>2.25</v>
      </c>
      <c r="O2" s="16">
        <f>M2 * $Q$4</f>
        <v>3</v>
      </c>
      <c r="Q2" t="s">
        <v>27</v>
      </c>
    </row>
    <row r="3" spans="1:21">
      <c r="A3" s="2">
        <v>2</v>
      </c>
      <c r="B3" s="4">
        <f>DAY(E3)</f>
        <v>27</v>
      </c>
      <c r="C3" s="4">
        <f>MONTH(E3)</f>
        <v>2</v>
      </c>
      <c r="D3" s="4">
        <f>YEAR(E3)</f>
        <v>2023</v>
      </c>
      <c r="E3" s="3">
        <v>44984</v>
      </c>
      <c r="F3" s="4" t="s">
        <v>28</v>
      </c>
      <c r="G3" s="4" t="s">
        <v>7</v>
      </c>
      <c r="H3" s="4">
        <v>26</v>
      </c>
      <c r="I3" s="4" t="str" cm="1">
        <f t="array" ref="I3">_xlfn.IFS(H3&lt;30, "Young Adult", H3&lt;50, "Adult", H3&gt;=50, "Senior")</f>
        <v>Young Adult</v>
      </c>
      <c r="J3" s="4" t="s">
        <v>3</v>
      </c>
      <c r="K3" s="4">
        <v>2</v>
      </c>
      <c r="L3" s="16">
        <v>500</v>
      </c>
      <c r="M3" s="16">
        <f xml:space="preserve"> K3 * L3</f>
        <v>1000</v>
      </c>
      <c r="N3" s="16">
        <f>M3 * $Q$3</f>
        <v>15</v>
      </c>
      <c r="O3" s="16">
        <f>M3 * $Q$4</f>
        <v>20</v>
      </c>
      <c r="P3" t="s">
        <v>29</v>
      </c>
      <c r="Q3" s="14">
        <v>1.4999999999999999E-2</v>
      </c>
    </row>
    <row r="4" spans="1:21">
      <c r="A4" s="2">
        <v>3</v>
      </c>
      <c r="B4" s="4">
        <f>DAY(E4)</f>
        <v>13</v>
      </c>
      <c r="C4" s="4">
        <f>MONTH(E4)</f>
        <v>1</v>
      </c>
      <c r="D4" s="4">
        <f>YEAR(E4)</f>
        <v>2023</v>
      </c>
      <c r="E4" s="3">
        <v>44939</v>
      </c>
      <c r="F4" s="4" t="s">
        <v>30</v>
      </c>
      <c r="G4" s="4" t="s">
        <v>8</v>
      </c>
      <c r="H4" s="4">
        <v>50</v>
      </c>
      <c r="I4" s="4" t="str" cm="1">
        <f t="array" ref="I4">_xlfn.IFS(H4&lt;30, "Young Adult", H4&lt;50, "Adult", H4&gt;=50, "Senior")</f>
        <v>Senior</v>
      </c>
      <c r="J4" s="4" t="s">
        <v>4</v>
      </c>
      <c r="K4" s="4">
        <v>1</v>
      </c>
      <c r="L4" s="16">
        <v>30</v>
      </c>
      <c r="M4" s="16">
        <f xml:space="preserve"> K4 * L4</f>
        <v>30</v>
      </c>
      <c r="N4" s="16">
        <f>M4 * $Q$3</f>
        <v>0.44999999999999996</v>
      </c>
      <c r="O4" s="16">
        <f>M4 * $Q$4</f>
        <v>0.6</v>
      </c>
      <c r="P4" t="s">
        <v>31</v>
      </c>
      <c r="Q4" s="19">
        <v>0.02</v>
      </c>
    </row>
    <row r="5" spans="1:21">
      <c r="A5" s="2">
        <v>4</v>
      </c>
      <c r="B5" s="4">
        <f>DAY(E5)</f>
        <v>21</v>
      </c>
      <c r="C5" s="4">
        <f>MONTH(E5)</f>
        <v>5</v>
      </c>
      <c r="D5" s="4">
        <f>YEAR(E5)</f>
        <v>2023</v>
      </c>
      <c r="E5" s="3">
        <v>45067</v>
      </c>
      <c r="F5" s="4" t="s">
        <v>32</v>
      </c>
      <c r="G5" s="4" t="s">
        <v>8</v>
      </c>
      <c r="H5" s="4">
        <v>37</v>
      </c>
      <c r="I5" s="4" t="str" cm="1">
        <f t="array" ref="I5">_xlfn.IFS(H5&lt;30, "Young Adult", H5&lt;50, "Adult", H5&gt;=50, "Senior")</f>
        <v>Adult</v>
      </c>
      <c r="J5" s="4" t="s">
        <v>3</v>
      </c>
      <c r="K5" s="4">
        <v>1</v>
      </c>
      <c r="L5" s="16">
        <v>500</v>
      </c>
      <c r="M5" s="16">
        <f xml:space="preserve"> K5 * L5</f>
        <v>500</v>
      </c>
      <c r="N5" s="16">
        <f>M5 * $Q$3</f>
        <v>7.5</v>
      </c>
      <c r="O5" s="16">
        <f>M5 * $Q$4</f>
        <v>10</v>
      </c>
    </row>
    <row r="6" spans="1:21">
      <c r="A6" s="2">
        <v>5</v>
      </c>
      <c r="B6" s="4">
        <f>DAY(E6)</f>
        <v>6</v>
      </c>
      <c r="C6" s="4">
        <f>MONTH(E6)</f>
        <v>5</v>
      </c>
      <c r="D6" s="4">
        <f>YEAR(E6)</f>
        <v>2023</v>
      </c>
      <c r="E6" s="3">
        <v>45052</v>
      </c>
      <c r="F6" s="4" t="s">
        <v>33</v>
      </c>
      <c r="G6" s="4" t="s">
        <v>8</v>
      </c>
      <c r="H6" s="4">
        <v>30</v>
      </c>
      <c r="I6" s="4" t="str" cm="1">
        <f t="array" ref="I6">_xlfn.IFS(H6&lt;30, "Young Adult", H6&lt;50, "Adult", H6&gt;=50, "Senior")</f>
        <v>Adult</v>
      </c>
      <c r="J6" s="4" t="s">
        <v>2</v>
      </c>
      <c r="K6" s="4">
        <v>2</v>
      </c>
      <c r="L6" s="16">
        <v>50</v>
      </c>
      <c r="M6" s="16">
        <f xml:space="preserve"> K6 * L6</f>
        <v>100</v>
      </c>
      <c r="N6" s="16">
        <f>M6 * $Q$3</f>
        <v>1.5</v>
      </c>
      <c r="O6" s="16">
        <f>M6 * $Q$4</f>
        <v>2</v>
      </c>
    </row>
    <row r="7" spans="1:21">
      <c r="A7" s="2">
        <v>6</v>
      </c>
      <c r="B7" s="4">
        <f>DAY(E7)</f>
        <v>25</v>
      </c>
      <c r="C7" s="4">
        <f>MONTH(E7)</f>
        <v>4</v>
      </c>
      <c r="D7" s="4">
        <f>YEAR(E7)</f>
        <v>2023</v>
      </c>
      <c r="E7" s="3">
        <v>45041</v>
      </c>
      <c r="F7" s="4" t="s">
        <v>34</v>
      </c>
      <c r="G7" s="4" t="s">
        <v>7</v>
      </c>
      <c r="H7" s="4">
        <v>45</v>
      </c>
      <c r="I7" s="4" t="str" cm="1">
        <f t="array" ref="I7">_xlfn.IFS(H7&lt;30, "Young Adult", H7&lt;50, "Adult", H7&gt;=50, "Senior")</f>
        <v>Adult</v>
      </c>
      <c r="J7" s="4" t="s">
        <v>2</v>
      </c>
      <c r="K7" s="4">
        <v>1</v>
      </c>
      <c r="L7" s="16">
        <v>30</v>
      </c>
      <c r="M7" s="16">
        <f xml:space="preserve"> K7 * L7</f>
        <v>30</v>
      </c>
      <c r="N7" s="16">
        <f>M7 * $Q$3</f>
        <v>0.44999999999999996</v>
      </c>
      <c r="O7" s="16">
        <f>M7 * $Q$4</f>
        <v>0.6</v>
      </c>
      <c r="R7" t="s">
        <v>20</v>
      </c>
    </row>
    <row r="8" spans="1:21">
      <c r="A8" s="2">
        <v>7</v>
      </c>
      <c r="B8" s="4">
        <f>DAY(E8)</f>
        <v>13</v>
      </c>
      <c r="C8" s="4">
        <f>MONTH(E8)</f>
        <v>3</v>
      </c>
      <c r="D8" s="4">
        <f>YEAR(E8)</f>
        <v>2023</v>
      </c>
      <c r="E8" s="3">
        <v>44998</v>
      </c>
      <c r="F8" s="4" t="s">
        <v>35</v>
      </c>
      <c r="G8" s="4" t="s">
        <v>8</v>
      </c>
      <c r="H8" s="4">
        <v>46</v>
      </c>
      <c r="I8" s="4" t="str" cm="1">
        <f t="array" ref="I8">_xlfn.IFS(H8&lt;30, "Young Adult", H8&lt;50, "Adult", H8&gt;=50, "Senior")</f>
        <v>Adult</v>
      </c>
      <c r="J8" s="4" t="s">
        <v>3</v>
      </c>
      <c r="K8" s="4">
        <v>2</v>
      </c>
      <c r="L8" s="16">
        <v>25</v>
      </c>
      <c r="M8" s="16">
        <f xml:space="preserve"> K8 * L8</f>
        <v>50</v>
      </c>
      <c r="N8" s="16">
        <f>M8 * $Q$3</f>
        <v>0.75</v>
      </c>
      <c r="O8" s="16">
        <f>M8 * $Q$4</f>
        <v>1</v>
      </c>
      <c r="R8" t="s">
        <v>7</v>
      </c>
      <c r="S8" t="s">
        <v>8</v>
      </c>
      <c r="T8" t="s">
        <v>36</v>
      </c>
    </row>
    <row r="9" spans="1:21">
      <c r="A9" s="2">
        <v>8</v>
      </c>
      <c r="B9" s="4">
        <f>DAY(E9)</f>
        <v>22</v>
      </c>
      <c r="C9" s="4">
        <f>MONTH(E9)</f>
        <v>2</v>
      </c>
      <c r="D9" s="4">
        <f>YEAR(E9)</f>
        <v>2023</v>
      </c>
      <c r="E9" s="3">
        <v>44979</v>
      </c>
      <c r="F9" s="4" t="s">
        <v>37</v>
      </c>
      <c r="G9" s="4" t="s">
        <v>8</v>
      </c>
      <c r="H9" s="4">
        <v>30</v>
      </c>
      <c r="I9" s="4" t="str" cm="1">
        <f t="array" ref="I9">_xlfn.IFS(H9&lt;30, "Young Adult", H9&lt;50, "Adult", H9&gt;=50, "Senior")</f>
        <v>Adult</v>
      </c>
      <c r="J9" s="4" t="s">
        <v>4</v>
      </c>
      <c r="K9" s="4">
        <v>4</v>
      </c>
      <c r="L9" s="16">
        <v>25</v>
      </c>
      <c r="M9" s="16">
        <f xml:space="preserve"> K9 * L9</f>
        <v>100</v>
      </c>
      <c r="N9" s="16">
        <f>M9 * $Q$3</f>
        <v>1.5</v>
      </c>
      <c r="O9" s="16">
        <f>M9 * $Q$4</f>
        <v>2</v>
      </c>
      <c r="R9">
        <f>SUMIFS(K:K, G:G, "Female", J:J, "Beauty")</f>
        <v>418</v>
      </c>
      <c r="S9">
        <f>SUMIFS(K:K,G:G, "Male", J:J, "Beauty")</f>
        <v>353</v>
      </c>
      <c r="T9" s="20">
        <f>AVERAGE(M:M)</f>
        <v>456</v>
      </c>
    </row>
    <row r="10" spans="1:21">
      <c r="A10" s="2">
        <v>9</v>
      </c>
      <c r="B10" s="4">
        <f>DAY(E10)</f>
        <v>13</v>
      </c>
      <c r="C10" s="4">
        <f>MONTH(E10)</f>
        <v>12</v>
      </c>
      <c r="D10" s="4">
        <f>YEAR(E10)</f>
        <v>2023</v>
      </c>
      <c r="E10" s="3">
        <v>45273</v>
      </c>
      <c r="F10" s="4" t="s">
        <v>38</v>
      </c>
      <c r="G10" s="4" t="s">
        <v>8</v>
      </c>
      <c r="H10" s="4">
        <v>63</v>
      </c>
      <c r="I10" s="4" t="str" cm="1">
        <f t="array" ref="I10">_xlfn.IFS(H10&lt;30, "Young Adult", H10&lt;50, "Adult", H10&gt;=50, "Senior")</f>
        <v>Senior</v>
      </c>
      <c r="J10" s="4" t="s">
        <v>4</v>
      </c>
      <c r="K10" s="4">
        <v>2</v>
      </c>
      <c r="L10" s="16">
        <v>300</v>
      </c>
      <c r="M10" s="16">
        <f xml:space="preserve"> K10 * L10</f>
        <v>600</v>
      </c>
      <c r="N10" s="16">
        <f>M10 * $Q$3</f>
        <v>9</v>
      </c>
      <c r="O10" s="16">
        <f>M10 * $Q$4</f>
        <v>12</v>
      </c>
      <c r="P10" s="17">
        <f>SUM(N:N)</f>
        <v>6840</v>
      </c>
      <c r="R10">
        <f>SUMIFS(K:K, G:G, "Female", J:J, "Electronics")</f>
        <v>439</v>
      </c>
      <c r="S10">
        <f>SUMIFS(K:K,G:G, "Male",J:J, "Electronics")</f>
        <v>410</v>
      </c>
      <c r="T10" s="20" t="e">
        <f>AVERAGEIF(J:J,P10,M:M)</f>
        <v>#DIV/0!</v>
      </c>
      <c r="U10" s="17"/>
    </row>
    <row r="11" spans="1:21">
      <c r="A11" s="2">
        <v>10</v>
      </c>
      <c r="B11" s="4">
        <f>DAY(E11)</f>
        <v>7</v>
      </c>
      <c r="C11" s="4">
        <f>MONTH(E11)</f>
        <v>10</v>
      </c>
      <c r="D11" s="4">
        <f>YEAR(E11)</f>
        <v>2023</v>
      </c>
      <c r="E11" s="3">
        <v>45206</v>
      </c>
      <c r="F11" s="4" t="s">
        <v>39</v>
      </c>
      <c r="G11" s="4" t="s">
        <v>7</v>
      </c>
      <c r="H11" s="4">
        <v>52</v>
      </c>
      <c r="I11" s="4" t="str" cm="1">
        <f t="array" ref="I11">_xlfn.IFS(H11&lt;30, "Young Adult", H11&lt;50, "Adult", H11&gt;=50, "Senior")</f>
        <v>Senior</v>
      </c>
      <c r="J11" s="4" t="s">
        <v>3</v>
      </c>
      <c r="K11" s="4">
        <v>4</v>
      </c>
      <c r="L11" s="16">
        <v>50</v>
      </c>
      <c r="M11" s="16">
        <f xml:space="preserve"> K11 * L11</f>
        <v>200</v>
      </c>
      <c r="N11" s="16">
        <f>M11 * $Q$3</f>
        <v>3</v>
      </c>
      <c r="O11" s="16">
        <f>M11 * $Q$4</f>
        <v>4</v>
      </c>
      <c r="P11" s="17">
        <f>AVERAGE(N:N)</f>
        <v>6.84</v>
      </c>
      <c r="Q11" t="s">
        <v>40</v>
      </c>
      <c r="R11">
        <f>SUMIFS(K:K, G:G, "Female", J:J, "clothing")</f>
        <v>441</v>
      </c>
      <c r="S11">
        <f>SUMIFS(K:K, G:G, "Male", J:J, "Clothing")</f>
        <v>453</v>
      </c>
      <c r="T11" s="20" t="e">
        <f>AVERAGEIF(J:J,P11,M:M)</f>
        <v>#DIV/0!</v>
      </c>
    </row>
    <row r="12" spans="1:21">
      <c r="A12" s="2">
        <v>11</v>
      </c>
      <c r="B12" s="4">
        <f>DAY(E12)</f>
        <v>14</v>
      </c>
      <c r="C12" s="4">
        <f>MONTH(E12)</f>
        <v>2</v>
      </c>
      <c r="D12" s="4">
        <f>YEAR(E12)</f>
        <v>2023</v>
      </c>
      <c r="E12" s="3">
        <v>44971</v>
      </c>
      <c r="F12" s="4" t="s">
        <v>41</v>
      </c>
      <c r="G12" s="4" t="s">
        <v>8</v>
      </c>
      <c r="H12" s="4">
        <v>23</v>
      </c>
      <c r="I12" s="4" t="str" cm="1">
        <f t="array" ref="I12">_xlfn.IFS(H12&lt;30, "Young Adult", H12&lt;50, "Adult", H12&gt;=50, "Senior")</f>
        <v>Young Adult</v>
      </c>
      <c r="J12" s="4" t="s">
        <v>3</v>
      </c>
      <c r="K12" s="4">
        <v>2</v>
      </c>
      <c r="L12" s="16">
        <v>50</v>
      </c>
      <c r="M12" s="16">
        <f xml:space="preserve"> K12 * L12</f>
        <v>100</v>
      </c>
      <c r="N12" s="16">
        <f>M12 * $Q$3</f>
        <v>1.5</v>
      </c>
      <c r="O12" s="16">
        <f>M12 * $Q$4</f>
        <v>2</v>
      </c>
    </row>
    <row r="13" spans="1:21">
      <c r="A13" s="2">
        <v>12</v>
      </c>
      <c r="B13" s="4">
        <f>DAY(E13)</f>
        <v>30</v>
      </c>
      <c r="C13" s="4">
        <f>MONTH(E13)</f>
        <v>10</v>
      </c>
      <c r="D13" s="4">
        <f>YEAR(E13)</f>
        <v>2023</v>
      </c>
      <c r="E13" s="3">
        <v>45229</v>
      </c>
      <c r="F13" s="4" t="s">
        <v>42</v>
      </c>
      <c r="G13" s="4" t="s">
        <v>8</v>
      </c>
      <c r="H13" s="4">
        <v>35</v>
      </c>
      <c r="I13" s="4" t="str" cm="1">
        <f t="array" ref="I13">_xlfn.IFS(H13&lt;30, "Young Adult", H13&lt;50, "Adult", H13&gt;=50, "Senior")</f>
        <v>Adult</v>
      </c>
      <c r="J13" s="4" t="s">
        <v>2</v>
      </c>
      <c r="K13" s="4">
        <v>3</v>
      </c>
      <c r="L13" s="16">
        <v>25</v>
      </c>
      <c r="M13" s="16">
        <f xml:space="preserve"> K13 * L13</f>
        <v>75</v>
      </c>
      <c r="N13" s="16">
        <f>M13 * $Q$3</f>
        <v>1.125</v>
      </c>
      <c r="O13" s="16">
        <f>M13 * $Q$4</f>
        <v>1.5</v>
      </c>
    </row>
    <row r="14" spans="1:21">
      <c r="A14" s="2">
        <v>13</v>
      </c>
      <c r="B14" s="4">
        <f>DAY(E14)</f>
        <v>5</v>
      </c>
      <c r="C14" s="4">
        <f>MONTH(E14)</f>
        <v>8</v>
      </c>
      <c r="D14" s="4">
        <f>YEAR(E14)</f>
        <v>2023</v>
      </c>
      <c r="E14" s="3">
        <v>45143</v>
      </c>
      <c r="F14" s="4" t="s">
        <v>43</v>
      </c>
      <c r="G14" s="4" t="s">
        <v>8</v>
      </c>
      <c r="H14" s="4">
        <v>22</v>
      </c>
      <c r="I14" s="4" t="str" cm="1">
        <f t="array" ref="I14">_xlfn.IFS(H14&lt;30, "Young Adult", H14&lt;50, "Adult", H14&gt;=50, "Senior")</f>
        <v>Young Adult</v>
      </c>
      <c r="J14" s="4" t="s">
        <v>4</v>
      </c>
      <c r="K14" s="4">
        <v>3</v>
      </c>
      <c r="L14" s="16">
        <v>500</v>
      </c>
      <c r="M14" s="16">
        <f xml:space="preserve"> K14 * L14</f>
        <v>1500</v>
      </c>
      <c r="N14" s="16">
        <f>M14 * $Q$3</f>
        <v>22.5</v>
      </c>
      <c r="O14" s="16">
        <f>M14 * $Q$4</f>
        <v>30</v>
      </c>
      <c r="P14" t="s">
        <v>44</v>
      </c>
      <c r="Q14" s="17">
        <f>SUM(M:M)</f>
        <v>456000</v>
      </c>
    </row>
    <row r="15" spans="1:21">
      <c r="A15" s="2">
        <v>14</v>
      </c>
      <c r="B15" s="4">
        <f>DAY(E15)</f>
        <v>17</v>
      </c>
      <c r="C15" s="4">
        <f>MONTH(E15)</f>
        <v>1</v>
      </c>
      <c r="D15" s="4">
        <f>YEAR(E15)</f>
        <v>2023</v>
      </c>
      <c r="E15" s="3">
        <v>44943</v>
      </c>
      <c r="F15" s="4" t="s">
        <v>45</v>
      </c>
      <c r="G15" s="4" t="s">
        <v>8</v>
      </c>
      <c r="H15" s="4">
        <v>64</v>
      </c>
      <c r="I15" s="4" t="str" cm="1">
        <f t="array" ref="I15">_xlfn.IFS(H15&lt;30, "Young Adult", H15&lt;50, "Adult", H15&gt;=50, "Senior")</f>
        <v>Senior</v>
      </c>
      <c r="J15" s="4" t="s">
        <v>3</v>
      </c>
      <c r="K15" s="4">
        <v>4</v>
      </c>
      <c r="L15" s="16">
        <v>30</v>
      </c>
      <c r="M15" s="16">
        <f xml:space="preserve"> K15 * L15</f>
        <v>120</v>
      </c>
      <c r="N15" s="16">
        <f>M15 * $Q$3</f>
        <v>1.7999999999999998</v>
      </c>
      <c r="O15" s="16">
        <f>M15 * $Q$4</f>
        <v>2.4</v>
      </c>
    </row>
    <row r="16" spans="1:21">
      <c r="A16" s="2">
        <v>15</v>
      </c>
      <c r="B16" s="4">
        <f>DAY(E16)</f>
        <v>16</v>
      </c>
      <c r="C16" s="4">
        <f>MONTH(E16)</f>
        <v>1</v>
      </c>
      <c r="D16" s="4">
        <f>YEAR(E16)</f>
        <v>2023</v>
      </c>
      <c r="E16" s="3">
        <v>44942</v>
      </c>
      <c r="F16" s="4" t="s">
        <v>46</v>
      </c>
      <c r="G16" s="4" t="s">
        <v>7</v>
      </c>
      <c r="H16" s="4">
        <v>42</v>
      </c>
      <c r="I16" s="4" t="str" cm="1">
        <f t="array" ref="I16">_xlfn.IFS(H16&lt;30, "Young Adult", H16&lt;50, "Adult", H16&gt;=50, "Senior")</f>
        <v>Adult</v>
      </c>
      <c r="J16" s="4" t="s">
        <v>4</v>
      </c>
      <c r="K16" s="4">
        <v>4</v>
      </c>
      <c r="L16" s="16">
        <v>500</v>
      </c>
      <c r="M16" s="16">
        <f xml:space="preserve"> K16 * L16</f>
        <v>2000</v>
      </c>
      <c r="N16" s="16">
        <f>M16 * $Q$3</f>
        <v>30</v>
      </c>
      <c r="O16" s="16">
        <f>M16 * $Q$4</f>
        <v>40</v>
      </c>
    </row>
    <row r="17" spans="1:17">
      <c r="A17" s="2">
        <v>16</v>
      </c>
      <c r="B17" s="4">
        <f>DAY(E17)</f>
        <v>17</v>
      </c>
      <c r="C17" s="4">
        <f>MONTH(E17)</f>
        <v>2</v>
      </c>
      <c r="D17" s="4">
        <f>YEAR(E17)</f>
        <v>2023</v>
      </c>
      <c r="E17" s="3">
        <v>44974</v>
      </c>
      <c r="F17" s="4" t="s">
        <v>47</v>
      </c>
      <c r="G17" s="4" t="s">
        <v>8</v>
      </c>
      <c r="H17" s="4">
        <v>19</v>
      </c>
      <c r="I17" s="4" t="str" cm="1">
        <f t="array" ref="I17">_xlfn.IFS(H17&lt;30, "Young Adult", H17&lt;50, "Adult", H17&gt;=50, "Senior")</f>
        <v>Young Adult</v>
      </c>
      <c r="J17" s="4" t="s">
        <v>3</v>
      </c>
      <c r="K17" s="4">
        <v>3</v>
      </c>
      <c r="L17" s="16">
        <v>500</v>
      </c>
      <c r="M17" s="16">
        <f xml:space="preserve"> K17 * L17</f>
        <v>1500</v>
      </c>
      <c r="N17" s="16">
        <f>M17 * $Q$3</f>
        <v>22.5</v>
      </c>
      <c r="O17" s="16">
        <f>M17 * $Q$4</f>
        <v>30</v>
      </c>
      <c r="P17" t="s">
        <v>3</v>
      </c>
      <c r="Q17">
        <f>SUMIF(J:J, "Clothing", M:M)</f>
        <v>155580</v>
      </c>
    </row>
    <row r="18" spans="1:17">
      <c r="A18" s="2">
        <v>17</v>
      </c>
      <c r="B18" s="4">
        <f>DAY(E18)</f>
        <v>22</v>
      </c>
      <c r="C18" s="4">
        <f>MONTH(E18)</f>
        <v>4</v>
      </c>
      <c r="D18" s="4">
        <f>YEAR(E18)</f>
        <v>2023</v>
      </c>
      <c r="E18" s="3">
        <v>45038</v>
      </c>
      <c r="F18" s="4" t="s">
        <v>48</v>
      </c>
      <c r="G18" s="4" t="s">
        <v>7</v>
      </c>
      <c r="H18" s="4">
        <v>27</v>
      </c>
      <c r="I18" s="4" t="str" cm="1">
        <f t="array" ref="I18">_xlfn.IFS(H18&lt;30, "Young Adult", H18&lt;50, "Adult", H18&gt;=50, "Senior")</f>
        <v>Young Adult</v>
      </c>
      <c r="J18" s="4" t="s">
        <v>3</v>
      </c>
      <c r="K18" s="4">
        <v>4</v>
      </c>
      <c r="L18" s="16">
        <v>25</v>
      </c>
      <c r="M18" s="16">
        <f xml:space="preserve"> K18 * L18</f>
        <v>100</v>
      </c>
      <c r="N18" s="16">
        <f>M18 * $Q$3</f>
        <v>1.5</v>
      </c>
      <c r="O18" s="16">
        <f>M18 * $Q$4</f>
        <v>2</v>
      </c>
    </row>
    <row r="19" spans="1:17">
      <c r="A19" s="2">
        <v>18</v>
      </c>
      <c r="B19" s="4">
        <f>DAY(E19)</f>
        <v>30</v>
      </c>
      <c r="C19" s="4">
        <f>MONTH(E19)</f>
        <v>4</v>
      </c>
      <c r="D19" s="4">
        <f>YEAR(E19)</f>
        <v>2023</v>
      </c>
      <c r="E19" s="3">
        <v>45046</v>
      </c>
      <c r="F19" s="4" t="s">
        <v>49</v>
      </c>
      <c r="G19" s="4" t="s">
        <v>7</v>
      </c>
      <c r="H19" s="4">
        <v>47</v>
      </c>
      <c r="I19" s="4" t="str" cm="1">
        <f t="array" ref="I19">_xlfn.IFS(H19&lt;30, "Young Adult", H19&lt;50, "Adult", H19&gt;=50, "Senior")</f>
        <v>Adult</v>
      </c>
      <c r="J19" s="4" t="s">
        <v>4</v>
      </c>
      <c r="K19" s="4">
        <v>2</v>
      </c>
      <c r="L19" s="16">
        <v>25</v>
      </c>
      <c r="M19" s="16">
        <f xml:space="preserve"> K19 * L19</f>
        <v>50</v>
      </c>
      <c r="N19" s="16">
        <f>M19 * $Q$3</f>
        <v>0.75</v>
      </c>
      <c r="O19" s="16">
        <f>M19 * $Q$4</f>
        <v>1</v>
      </c>
    </row>
    <row r="20" spans="1:17">
      <c r="A20" s="2">
        <v>19</v>
      </c>
      <c r="B20" s="4">
        <f>DAY(E20)</f>
        <v>16</v>
      </c>
      <c r="C20" s="4">
        <f>MONTH(E20)</f>
        <v>9</v>
      </c>
      <c r="D20" s="4">
        <f>YEAR(E20)</f>
        <v>2023</v>
      </c>
      <c r="E20" s="3">
        <v>45185</v>
      </c>
      <c r="F20" s="4" t="s">
        <v>50</v>
      </c>
      <c r="G20" s="4" t="s">
        <v>7</v>
      </c>
      <c r="H20" s="4">
        <v>62</v>
      </c>
      <c r="I20" s="4" t="str" cm="1">
        <f t="array" ref="I20">_xlfn.IFS(H20&lt;30, "Young Adult", H20&lt;50, "Adult", H20&gt;=50, "Senior")</f>
        <v>Senior</v>
      </c>
      <c r="J20" s="4" t="s">
        <v>3</v>
      </c>
      <c r="K20" s="4">
        <v>2</v>
      </c>
      <c r="L20" s="16">
        <v>25</v>
      </c>
      <c r="M20" s="16">
        <f xml:space="preserve"> K20 * L20</f>
        <v>50</v>
      </c>
      <c r="N20" s="16">
        <f>M20 * $Q$3</f>
        <v>0.75</v>
      </c>
      <c r="O20" s="16">
        <f>M20 * $Q$4</f>
        <v>1</v>
      </c>
    </row>
    <row r="21" spans="1:17">
      <c r="A21" s="2">
        <v>20</v>
      </c>
      <c r="B21" s="4">
        <f>DAY(E21)</f>
        <v>5</v>
      </c>
      <c r="C21" s="4">
        <f>MONTH(E21)</f>
        <v>11</v>
      </c>
      <c r="D21" s="4">
        <f>YEAR(E21)</f>
        <v>2023</v>
      </c>
      <c r="E21" s="3">
        <v>45235</v>
      </c>
      <c r="F21" s="4" t="s">
        <v>51</v>
      </c>
      <c r="G21" s="4" t="s">
        <v>8</v>
      </c>
      <c r="H21" s="4">
        <v>22</v>
      </c>
      <c r="I21" s="4" t="str" cm="1">
        <f t="array" ref="I21">_xlfn.IFS(H21&lt;30, "Young Adult", H21&lt;50, "Adult", H21&gt;=50, "Senior")</f>
        <v>Young Adult</v>
      </c>
      <c r="J21" s="4" t="s">
        <v>3</v>
      </c>
      <c r="K21" s="4">
        <v>3</v>
      </c>
      <c r="L21" s="16">
        <v>300</v>
      </c>
      <c r="M21" s="16">
        <f xml:space="preserve"> K21 * L21</f>
        <v>900</v>
      </c>
      <c r="N21" s="16">
        <f>M21 * $Q$3</f>
        <v>13.5</v>
      </c>
      <c r="O21" s="16">
        <f>M21 * $Q$4</f>
        <v>18</v>
      </c>
    </row>
    <row r="22" spans="1:17">
      <c r="A22" s="2">
        <v>21</v>
      </c>
      <c r="B22" s="4">
        <f>DAY(E22)</f>
        <v>14</v>
      </c>
      <c r="C22" s="4">
        <f>MONTH(E22)</f>
        <v>1</v>
      </c>
      <c r="D22" s="4">
        <f>YEAR(E22)</f>
        <v>2023</v>
      </c>
      <c r="E22" s="3">
        <v>44940</v>
      </c>
      <c r="F22" s="4" t="s">
        <v>52</v>
      </c>
      <c r="G22" s="4" t="s">
        <v>7</v>
      </c>
      <c r="H22" s="4">
        <v>50</v>
      </c>
      <c r="I22" s="4" t="str" cm="1">
        <f t="array" ref="I22">_xlfn.IFS(H22&lt;30, "Young Adult", H22&lt;50, "Adult", H22&gt;=50, "Senior")</f>
        <v>Senior</v>
      </c>
      <c r="J22" s="4" t="s">
        <v>2</v>
      </c>
      <c r="K22" s="4">
        <v>1</v>
      </c>
      <c r="L22" s="16">
        <v>500</v>
      </c>
      <c r="M22" s="16">
        <f xml:space="preserve"> K22 * L22</f>
        <v>500</v>
      </c>
      <c r="N22" s="16">
        <f>M22 * $Q$3</f>
        <v>7.5</v>
      </c>
      <c r="O22" s="16">
        <f>M22 * $Q$4</f>
        <v>10</v>
      </c>
    </row>
    <row r="23" spans="1:17">
      <c r="A23" s="2">
        <v>22</v>
      </c>
      <c r="B23" s="4">
        <f>DAY(E23)</f>
        <v>15</v>
      </c>
      <c r="C23" s="4">
        <f>MONTH(E23)</f>
        <v>10</v>
      </c>
      <c r="D23" s="4">
        <f>YEAR(E23)</f>
        <v>2023</v>
      </c>
      <c r="E23" s="3">
        <v>45214</v>
      </c>
      <c r="F23" s="4" t="s">
        <v>53</v>
      </c>
      <c r="G23" s="4" t="s">
        <v>8</v>
      </c>
      <c r="H23" s="4">
        <v>18</v>
      </c>
      <c r="I23" s="4" t="str" cm="1">
        <f t="array" ref="I23">_xlfn.IFS(H23&lt;30, "Young Adult", H23&lt;50, "Adult", H23&gt;=50, "Senior")</f>
        <v>Young Adult</v>
      </c>
      <c r="J23" s="4" t="s">
        <v>3</v>
      </c>
      <c r="K23" s="4">
        <v>2</v>
      </c>
      <c r="L23" s="16">
        <v>50</v>
      </c>
      <c r="M23" s="16">
        <f xml:space="preserve"> K23 * L23</f>
        <v>100</v>
      </c>
      <c r="N23" s="16">
        <f>M23 * $Q$3</f>
        <v>1.5</v>
      </c>
      <c r="O23" s="16">
        <f>M23 * $Q$4</f>
        <v>2</v>
      </c>
    </row>
    <row r="24" spans="1:17">
      <c r="A24" s="2">
        <v>23</v>
      </c>
      <c r="B24" s="4">
        <f>DAY(E24)</f>
        <v>12</v>
      </c>
      <c r="C24" s="4">
        <f>MONTH(E24)</f>
        <v>4</v>
      </c>
      <c r="D24" s="4">
        <f>YEAR(E24)</f>
        <v>2023</v>
      </c>
      <c r="E24" s="3">
        <v>45028</v>
      </c>
      <c r="F24" s="4" t="s">
        <v>54</v>
      </c>
      <c r="G24" s="4" t="s">
        <v>7</v>
      </c>
      <c r="H24" s="4">
        <v>35</v>
      </c>
      <c r="I24" s="4" t="str" cm="1">
        <f t="array" ref="I24">_xlfn.IFS(H24&lt;30, "Young Adult", H24&lt;50, "Adult", H24&gt;=50, "Senior")</f>
        <v>Adult</v>
      </c>
      <c r="J24" s="4" t="s">
        <v>3</v>
      </c>
      <c r="K24" s="4">
        <v>4</v>
      </c>
      <c r="L24" s="16">
        <v>30</v>
      </c>
      <c r="M24" s="16">
        <f xml:space="preserve"> K24 * L24</f>
        <v>120</v>
      </c>
      <c r="N24" s="16">
        <f>M24 * $Q$3</f>
        <v>1.7999999999999998</v>
      </c>
      <c r="O24" s="16">
        <f>M24 * $Q$4</f>
        <v>2.4</v>
      </c>
    </row>
    <row r="25" spans="1:17">
      <c r="A25" s="2">
        <v>24</v>
      </c>
      <c r="B25" s="4">
        <f>DAY(E25)</f>
        <v>29</v>
      </c>
      <c r="C25" s="4">
        <f>MONTH(E25)</f>
        <v>11</v>
      </c>
      <c r="D25" s="4">
        <f>YEAR(E25)</f>
        <v>2023</v>
      </c>
      <c r="E25" s="3">
        <v>45259</v>
      </c>
      <c r="F25" s="4" t="s">
        <v>55</v>
      </c>
      <c r="G25" s="4" t="s">
        <v>7</v>
      </c>
      <c r="H25" s="4">
        <v>49</v>
      </c>
      <c r="I25" s="4" t="str" cm="1">
        <f t="array" ref="I25">_xlfn.IFS(H25&lt;30, "Young Adult", H25&lt;50, "Adult", H25&gt;=50, "Senior")</f>
        <v>Adult</v>
      </c>
      <c r="J25" s="4" t="s">
        <v>3</v>
      </c>
      <c r="K25" s="4">
        <v>1</v>
      </c>
      <c r="L25" s="16">
        <v>300</v>
      </c>
      <c r="M25" s="16">
        <f xml:space="preserve"> K25 * L25</f>
        <v>300</v>
      </c>
      <c r="N25" s="16">
        <f>M25 * $Q$3</f>
        <v>4.5</v>
      </c>
      <c r="O25" s="16">
        <f>M25 * $Q$4</f>
        <v>6</v>
      </c>
    </row>
    <row r="26" spans="1:17">
      <c r="A26" s="2">
        <v>25</v>
      </c>
      <c r="B26" s="4">
        <f>DAY(E26)</f>
        <v>26</v>
      </c>
      <c r="C26" s="4">
        <f>MONTH(E26)</f>
        <v>12</v>
      </c>
      <c r="D26" s="4">
        <f>YEAR(E26)</f>
        <v>2023</v>
      </c>
      <c r="E26" s="3">
        <v>45286</v>
      </c>
      <c r="F26" s="4" t="s">
        <v>56</v>
      </c>
      <c r="G26" s="4" t="s">
        <v>7</v>
      </c>
      <c r="H26" s="4">
        <v>64</v>
      </c>
      <c r="I26" s="4" t="str" cm="1">
        <f t="array" ref="I26">_xlfn.IFS(H26&lt;30, "Young Adult", H26&lt;50, "Adult", H26&gt;=50, "Senior")</f>
        <v>Senior</v>
      </c>
      <c r="J26" s="4" t="s">
        <v>2</v>
      </c>
      <c r="K26" s="4">
        <v>1</v>
      </c>
      <c r="L26" s="16">
        <v>50</v>
      </c>
      <c r="M26" s="16">
        <f xml:space="preserve"> K26 * L26</f>
        <v>50</v>
      </c>
      <c r="N26" s="16">
        <f>M26 * $Q$3</f>
        <v>0.75</v>
      </c>
      <c r="O26" s="16">
        <f>M26 * $Q$4</f>
        <v>1</v>
      </c>
    </row>
    <row r="27" spans="1:17">
      <c r="A27" s="2">
        <v>26</v>
      </c>
      <c r="B27" s="4">
        <f>DAY(E27)</f>
        <v>7</v>
      </c>
      <c r="C27" s="4">
        <f>MONTH(E27)</f>
        <v>10</v>
      </c>
      <c r="D27" s="4">
        <f>YEAR(E27)</f>
        <v>2023</v>
      </c>
      <c r="E27" s="3">
        <v>45206</v>
      </c>
      <c r="F27" s="4" t="s">
        <v>57</v>
      </c>
      <c r="G27" s="4" t="s">
        <v>7</v>
      </c>
      <c r="H27" s="4">
        <v>28</v>
      </c>
      <c r="I27" s="4" t="str" cm="1">
        <f t="array" ref="I27">_xlfn.IFS(H27&lt;30, "Young Adult", H27&lt;50, "Adult", H27&gt;=50, "Senior")</f>
        <v>Young Adult</v>
      </c>
      <c r="J27" s="4" t="s">
        <v>4</v>
      </c>
      <c r="K27" s="4">
        <v>2</v>
      </c>
      <c r="L27" s="16">
        <v>500</v>
      </c>
      <c r="M27" s="16">
        <f xml:space="preserve"> K27 * L27</f>
        <v>1000</v>
      </c>
      <c r="N27" s="16">
        <f>M27 * $Q$3</f>
        <v>15</v>
      </c>
      <c r="O27" s="16">
        <f>M27 * $Q$4</f>
        <v>20</v>
      </c>
    </row>
    <row r="28" spans="1:17">
      <c r="A28" s="2">
        <v>27</v>
      </c>
      <c r="B28" s="4">
        <f>DAY(E28)</f>
        <v>3</v>
      </c>
      <c r="C28" s="4">
        <f>MONTH(E28)</f>
        <v>8</v>
      </c>
      <c r="D28" s="4">
        <f>YEAR(E28)</f>
        <v>2023</v>
      </c>
      <c r="E28" s="3">
        <v>45141</v>
      </c>
      <c r="F28" s="4" t="s">
        <v>58</v>
      </c>
      <c r="G28" s="4" t="s">
        <v>7</v>
      </c>
      <c r="H28" s="4">
        <v>38</v>
      </c>
      <c r="I28" s="4" t="str" cm="1">
        <f t="array" ref="I28">_xlfn.IFS(H28&lt;30, "Young Adult", H28&lt;50, "Adult", H28&gt;=50, "Senior")</f>
        <v>Adult</v>
      </c>
      <c r="J28" s="4" t="s">
        <v>2</v>
      </c>
      <c r="K28" s="4">
        <v>2</v>
      </c>
      <c r="L28" s="16">
        <v>25</v>
      </c>
      <c r="M28" s="16">
        <f xml:space="preserve"> K28 * L28</f>
        <v>50</v>
      </c>
      <c r="N28" s="16">
        <f>M28 * $Q$3</f>
        <v>0.75</v>
      </c>
      <c r="O28" s="16">
        <f>M28 * $Q$4</f>
        <v>1</v>
      </c>
    </row>
    <row r="29" spans="1:17">
      <c r="A29" s="2">
        <v>28</v>
      </c>
      <c r="B29" s="4">
        <f>DAY(E29)</f>
        <v>23</v>
      </c>
      <c r="C29" s="4">
        <f>MONTH(E29)</f>
        <v>4</v>
      </c>
      <c r="D29" s="4">
        <f>YEAR(E29)</f>
        <v>2023</v>
      </c>
      <c r="E29" s="3">
        <v>45039</v>
      </c>
      <c r="F29" s="4" t="s">
        <v>59</v>
      </c>
      <c r="G29" s="4" t="s">
        <v>7</v>
      </c>
      <c r="H29" s="4">
        <v>43</v>
      </c>
      <c r="I29" s="4" t="str" cm="1">
        <f t="array" ref="I29">_xlfn.IFS(H29&lt;30, "Young Adult", H29&lt;50, "Adult", H29&gt;=50, "Senior")</f>
        <v>Adult</v>
      </c>
      <c r="J29" s="4" t="s">
        <v>2</v>
      </c>
      <c r="K29" s="4">
        <v>1</v>
      </c>
      <c r="L29" s="16">
        <v>500</v>
      </c>
      <c r="M29" s="16">
        <f xml:space="preserve"> K29 * L29</f>
        <v>500</v>
      </c>
      <c r="N29" s="16">
        <f>M29 * $Q$3</f>
        <v>7.5</v>
      </c>
      <c r="O29" s="16">
        <f>M29 * $Q$4</f>
        <v>10</v>
      </c>
    </row>
    <row r="30" spans="1:17">
      <c r="A30" s="2">
        <v>29</v>
      </c>
      <c r="B30" s="4">
        <f>DAY(E30)</f>
        <v>18</v>
      </c>
      <c r="C30" s="4">
        <f>MONTH(E30)</f>
        <v>8</v>
      </c>
      <c r="D30" s="4">
        <f>YEAR(E30)</f>
        <v>2023</v>
      </c>
      <c r="E30" s="3">
        <v>45156</v>
      </c>
      <c r="F30" s="4" t="s">
        <v>60</v>
      </c>
      <c r="G30" s="4" t="s">
        <v>7</v>
      </c>
      <c r="H30" s="4">
        <v>42</v>
      </c>
      <c r="I30" s="4" t="str" cm="1">
        <f t="array" ref="I30">_xlfn.IFS(H30&lt;30, "Young Adult", H30&lt;50, "Adult", H30&gt;=50, "Senior")</f>
        <v>Adult</v>
      </c>
      <c r="J30" s="4" t="s">
        <v>4</v>
      </c>
      <c r="K30" s="4">
        <v>1</v>
      </c>
      <c r="L30" s="16">
        <v>30</v>
      </c>
      <c r="M30" s="16">
        <f xml:space="preserve"> K30 * L30</f>
        <v>30</v>
      </c>
      <c r="N30" s="16">
        <f>M30 * $Q$3</f>
        <v>0.44999999999999996</v>
      </c>
      <c r="O30" s="16">
        <f>M30 * $Q$4</f>
        <v>0.6</v>
      </c>
    </row>
    <row r="31" spans="1:17">
      <c r="A31" s="2">
        <v>30</v>
      </c>
      <c r="B31" s="4">
        <f>DAY(E31)</f>
        <v>29</v>
      </c>
      <c r="C31" s="4">
        <f>MONTH(E31)</f>
        <v>10</v>
      </c>
      <c r="D31" s="4">
        <f>YEAR(E31)</f>
        <v>2023</v>
      </c>
      <c r="E31" s="3">
        <v>45228</v>
      </c>
      <c r="F31" s="4" t="s">
        <v>61</v>
      </c>
      <c r="G31" s="4" t="s">
        <v>7</v>
      </c>
      <c r="H31" s="4">
        <v>39</v>
      </c>
      <c r="I31" s="4" t="str" cm="1">
        <f t="array" ref="I31">_xlfn.IFS(H31&lt;30, "Young Adult", H31&lt;50, "Adult", H31&gt;=50, "Senior")</f>
        <v>Adult</v>
      </c>
      <c r="J31" s="4" t="s">
        <v>2</v>
      </c>
      <c r="K31" s="4">
        <v>3</v>
      </c>
      <c r="L31" s="16">
        <v>300</v>
      </c>
      <c r="M31" s="16">
        <f xml:space="preserve"> K31 * L31</f>
        <v>900</v>
      </c>
      <c r="N31" s="16">
        <f>M31 * $Q$3</f>
        <v>13.5</v>
      </c>
      <c r="O31" s="16">
        <f>M31 * $Q$4</f>
        <v>18</v>
      </c>
    </row>
    <row r="32" spans="1:17">
      <c r="A32" s="2">
        <v>31</v>
      </c>
      <c r="B32" s="4">
        <f>DAY(E32)</f>
        <v>23</v>
      </c>
      <c r="C32" s="4">
        <f>MONTH(E32)</f>
        <v>5</v>
      </c>
      <c r="D32" s="4">
        <f>YEAR(E32)</f>
        <v>2023</v>
      </c>
      <c r="E32" s="3">
        <v>45069</v>
      </c>
      <c r="F32" s="4" t="s">
        <v>62</v>
      </c>
      <c r="G32" s="4" t="s">
        <v>8</v>
      </c>
      <c r="H32" s="4">
        <v>44</v>
      </c>
      <c r="I32" s="4" t="str" cm="1">
        <f t="array" ref="I32">_xlfn.IFS(H32&lt;30, "Young Adult", H32&lt;50, "Adult", H32&gt;=50, "Senior")</f>
        <v>Adult</v>
      </c>
      <c r="J32" s="4" t="s">
        <v>4</v>
      </c>
      <c r="K32" s="4">
        <v>4</v>
      </c>
      <c r="L32" s="16">
        <v>300</v>
      </c>
      <c r="M32" s="16">
        <f xml:space="preserve"> K32 * L32</f>
        <v>1200</v>
      </c>
      <c r="N32" s="16">
        <f>M32 * $Q$3</f>
        <v>18</v>
      </c>
      <c r="O32" s="16">
        <f>M32 * $Q$4</f>
        <v>24</v>
      </c>
    </row>
    <row r="33" spans="1:17">
      <c r="A33" s="2">
        <v>32</v>
      </c>
      <c r="B33" s="4">
        <f>DAY(E33)</f>
        <v>4</v>
      </c>
      <c r="C33" s="4">
        <f>MONTH(E33)</f>
        <v>1</v>
      </c>
      <c r="D33" s="4">
        <f>YEAR(E33)</f>
        <v>2023</v>
      </c>
      <c r="E33" s="3">
        <v>44930</v>
      </c>
      <c r="F33" s="4" t="s">
        <v>63</v>
      </c>
      <c r="G33" s="4" t="s">
        <v>8</v>
      </c>
      <c r="H33" s="4">
        <v>30</v>
      </c>
      <c r="I33" s="4" t="str" cm="1">
        <f t="array" ref="I33">_xlfn.IFS(H33&lt;30, "Young Adult", H33&lt;50, "Adult", H33&gt;=50, "Senior")</f>
        <v>Adult</v>
      </c>
      <c r="J33" s="4" t="s">
        <v>2</v>
      </c>
      <c r="K33" s="4">
        <v>3</v>
      </c>
      <c r="L33" s="16">
        <v>30</v>
      </c>
      <c r="M33" s="16">
        <f xml:space="preserve"> K33 * L33</f>
        <v>90</v>
      </c>
      <c r="N33" s="16">
        <f>M33 * $Q$3</f>
        <v>1.3499999999999999</v>
      </c>
      <c r="O33" s="16">
        <f>M33 * $Q$4</f>
        <v>1.8</v>
      </c>
      <c r="P33" t="s">
        <v>4</v>
      </c>
      <c r="Q33">
        <f>SUMIF(J:J, "Electronics", M:M)</f>
        <v>156905</v>
      </c>
    </row>
    <row r="34" spans="1:17">
      <c r="A34" s="2">
        <v>33</v>
      </c>
      <c r="B34" s="4">
        <f>DAY(E34)</f>
        <v>23</v>
      </c>
      <c r="C34" s="4">
        <f>MONTH(E34)</f>
        <v>3</v>
      </c>
      <c r="D34" s="4">
        <f>YEAR(E34)</f>
        <v>2023</v>
      </c>
      <c r="E34" s="3">
        <v>45008</v>
      </c>
      <c r="F34" s="4" t="s">
        <v>64</v>
      </c>
      <c r="G34" s="4" t="s">
        <v>7</v>
      </c>
      <c r="H34" s="4">
        <v>50</v>
      </c>
      <c r="I34" s="4" t="str" cm="1">
        <f t="array" ref="I34">_xlfn.IFS(H34&lt;30, "Young Adult", H34&lt;50, "Adult", H34&gt;=50, "Senior")</f>
        <v>Senior</v>
      </c>
      <c r="J34" s="4" t="s">
        <v>4</v>
      </c>
      <c r="K34" s="4">
        <v>2</v>
      </c>
      <c r="L34" s="16">
        <v>50</v>
      </c>
      <c r="M34" s="16">
        <f xml:space="preserve"> K34 * L34</f>
        <v>100</v>
      </c>
      <c r="N34" s="16">
        <f>M34 * $Q$3</f>
        <v>1.5</v>
      </c>
      <c r="O34" s="16">
        <f>M34 * $Q$4</f>
        <v>2</v>
      </c>
    </row>
    <row r="35" spans="1:17">
      <c r="A35" s="2">
        <v>34</v>
      </c>
      <c r="B35" s="4">
        <f>DAY(E35)</f>
        <v>24</v>
      </c>
      <c r="C35" s="4">
        <f>MONTH(E35)</f>
        <v>12</v>
      </c>
      <c r="D35" s="4">
        <f>YEAR(E35)</f>
        <v>2023</v>
      </c>
      <c r="E35" s="3">
        <v>45284</v>
      </c>
      <c r="F35" s="4" t="s">
        <v>65</v>
      </c>
      <c r="G35" s="4" t="s">
        <v>7</v>
      </c>
      <c r="H35" s="4">
        <v>51</v>
      </c>
      <c r="I35" s="4" t="str" cm="1">
        <f t="array" ref="I35">_xlfn.IFS(H35&lt;30, "Young Adult", H35&lt;50, "Adult", H35&gt;=50, "Senior")</f>
        <v>Senior</v>
      </c>
      <c r="J35" s="4" t="s">
        <v>3</v>
      </c>
      <c r="K35" s="4">
        <v>3</v>
      </c>
      <c r="L35" s="16">
        <v>50</v>
      </c>
      <c r="M35" s="16">
        <f xml:space="preserve"> K35 * L35</f>
        <v>150</v>
      </c>
      <c r="N35" s="16">
        <f>M35 * $Q$3</f>
        <v>2.25</v>
      </c>
      <c r="O35" s="16">
        <f>M35 * $Q$4</f>
        <v>3</v>
      </c>
    </row>
    <row r="36" spans="1:17">
      <c r="A36" s="2">
        <v>35</v>
      </c>
      <c r="B36" s="4">
        <f>DAY(E36)</f>
        <v>5</v>
      </c>
      <c r="C36" s="4">
        <f>MONTH(E36)</f>
        <v>8</v>
      </c>
      <c r="D36" s="4">
        <f>YEAR(E36)</f>
        <v>2023</v>
      </c>
      <c r="E36" s="3">
        <v>45143</v>
      </c>
      <c r="F36" s="4" t="s">
        <v>66</v>
      </c>
      <c r="G36" s="4" t="s">
        <v>7</v>
      </c>
      <c r="H36" s="4">
        <v>58</v>
      </c>
      <c r="I36" s="4" t="str" cm="1">
        <f t="array" ref="I36">_xlfn.IFS(H36&lt;30, "Young Adult", H36&lt;50, "Adult", H36&gt;=50, "Senior")</f>
        <v>Senior</v>
      </c>
      <c r="J36" s="4" t="s">
        <v>2</v>
      </c>
      <c r="K36" s="4">
        <v>3</v>
      </c>
      <c r="L36" s="16">
        <v>300</v>
      </c>
      <c r="M36" s="16">
        <f xml:space="preserve"> K36 * L36</f>
        <v>900</v>
      </c>
      <c r="N36" s="16">
        <f>M36 * $Q$3</f>
        <v>13.5</v>
      </c>
      <c r="O36" s="16">
        <f>M36 * $Q$4</f>
        <v>18</v>
      </c>
    </row>
    <row r="37" spans="1:17">
      <c r="A37" s="2">
        <v>36</v>
      </c>
      <c r="B37" s="4">
        <f>DAY(E37)</f>
        <v>24</v>
      </c>
      <c r="C37" s="4">
        <f>MONTH(E37)</f>
        <v>6</v>
      </c>
      <c r="D37" s="4">
        <f>YEAR(E37)</f>
        <v>2023</v>
      </c>
      <c r="E37" s="3">
        <v>45101</v>
      </c>
      <c r="F37" s="4" t="s">
        <v>67</v>
      </c>
      <c r="G37" s="4" t="s">
        <v>8</v>
      </c>
      <c r="H37" s="4">
        <v>52</v>
      </c>
      <c r="I37" s="4" t="str" cm="1">
        <f t="array" ref="I37">_xlfn.IFS(H37&lt;30, "Young Adult", H37&lt;50, "Adult", H37&gt;=50, "Senior")</f>
        <v>Senior</v>
      </c>
      <c r="J37" s="4" t="s">
        <v>2</v>
      </c>
      <c r="K37" s="4">
        <v>3</v>
      </c>
      <c r="L37" s="16">
        <v>300</v>
      </c>
      <c r="M37" s="16">
        <f xml:space="preserve"> K37 * L37</f>
        <v>900</v>
      </c>
      <c r="N37" s="16">
        <f>M37 * $Q$3</f>
        <v>13.5</v>
      </c>
      <c r="O37" s="16">
        <f>M37 * $Q$4</f>
        <v>18</v>
      </c>
    </row>
    <row r="38" spans="1:17">
      <c r="A38" s="2">
        <v>37</v>
      </c>
      <c r="B38" s="4">
        <f>DAY(E38)</f>
        <v>23</v>
      </c>
      <c r="C38" s="4">
        <f>MONTH(E38)</f>
        <v>5</v>
      </c>
      <c r="D38" s="4">
        <f>YEAR(E38)</f>
        <v>2023</v>
      </c>
      <c r="E38" s="3">
        <v>45069</v>
      </c>
      <c r="F38" s="4" t="s">
        <v>68</v>
      </c>
      <c r="G38" s="4" t="s">
        <v>7</v>
      </c>
      <c r="H38" s="4">
        <v>18</v>
      </c>
      <c r="I38" s="4" t="str" cm="1">
        <f t="array" ref="I38">_xlfn.IFS(H38&lt;30, "Young Adult", H38&lt;50, "Adult", H38&gt;=50, "Senior")</f>
        <v>Young Adult</v>
      </c>
      <c r="J38" s="4" t="s">
        <v>2</v>
      </c>
      <c r="K38" s="4">
        <v>3</v>
      </c>
      <c r="L38" s="16">
        <v>25</v>
      </c>
      <c r="M38" s="16">
        <f xml:space="preserve"> K38 * L38</f>
        <v>75</v>
      </c>
      <c r="N38" s="16">
        <f>M38 * $Q$3</f>
        <v>1.125</v>
      </c>
      <c r="O38" s="16">
        <f>M38 * $Q$4</f>
        <v>1.5</v>
      </c>
    </row>
    <row r="39" spans="1:17">
      <c r="A39" s="2">
        <v>38</v>
      </c>
      <c r="B39" s="4">
        <f>DAY(E39)</f>
        <v>21</v>
      </c>
      <c r="C39" s="4">
        <f>MONTH(E39)</f>
        <v>3</v>
      </c>
      <c r="D39" s="4">
        <f>YEAR(E39)</f>
        <v>2023</v>
      </c>
      <c r="E39" s="3">
        <v>45006</v>
      </c>
      <c r="F39" s="4" t="s">
        <v>69</v>
      </c>
      <c r="G39" s="4" t="s">
        <v>8</v>
      </c>
      <c r="H39" s="4">
        <v>38</v>
      </c>
      <c r="I39" s="4" t="str" cm="1">
        <f t="array" ref="I39">_xlfn.IFS(H39&lt;30, "Young Adult", H39&lt;50, "Adult", H39&gt;=50, "Senior")</f>
        <v>Adult</v>
      </c>
      <c r="J39" s="4" t="s">
        <v>2</v>
      </c>
      <c r="K39" s="4">
        <v>4</v>
      </c>
      <c r="L39" s="16">
        <v>50</v>
      </c>
      <c r="M39" s="16">
        <f xml:space="preserve"> K39 * L39</f>
        <v>200</v>
      </c>
      <c r="N39" s="16">
        <f>M39 * $Q$3</f>
        <v>3</v>
      </c>
      <c r="O39" s="16">
        <f>M39 * $Q$4</f>
        <v>4</v>
      </c>
    </row>
    <row r="40" spans="1:17">
      <c r="A40" s="2">
        <v>39</v>
      </c>
      <c r="B40" s="4">
        <f>DAY(E40)</f>
        <v>21</v>
      </c>
      <c r="C40" s="4">
        <f>MONTH(E40)</f>
        <v>4</v>
      </c>
      <c r="D40" s="4">
        <f>YEAR(E40)</f>
        <v>2023</v>
      </c>
      <c r="E40" s="3">
        <v>45037</v>
      </c>
      <c r="F40" s="4" t="s">
        <v>70</v>
      </c>
      <c r="G40" s="4" t="s">
        <v>8</v>
      </c>
      <c r="H40" s="4">
        <v>23</v>
      </c>
      <c r="I40" s="4" t="str" cm="1">
        <f t="array" ref="I40">_xlfn.IFS(H40&lt;30, "Young Adult", H40&lt;50, "Adult", H40&gt;=50, "Senior")</f>
        <v>Young Adult</v>
      </c>
      <c r="J40" s="4" t="s">
        <v>3</v>
      </c>
      <c r="K40" s="4">
        <v>4</v>
      </c>
      <c r="L40" s="16">
        <v>30</v>
      </c>
      <c r="M40" s="16">
        <f xml:space="preserve"> K40 * L40</f>
        <v>120</v>
      </c>
      <c r="N40" s="16">
        <f>M40 * $Q$3</f>
        <v>1.7999999999999998</v>
      </c>
      <c r="O40" s="16">
        <f>M40 * $Q$4</f>
        <v>2.4</v>
      </c>
    </row>
    <row r="41" spans="1:17">
      <c r="A41" s="2">
        <v>40</v>
      </c>
      <c r="B41" s="4">
        <f>DAY(E41)</f>
        <v>22</v>
      </c>
      <c r="C41" s="4">
        <f>MONTH(E41)</f>
        <v>6</v>
      </c>
      <c r="D41" s="4">
        <f>YEAR(E41)</f>
        <v>2023</v>
      </c>
      <c r="E41" s="3">
        <v>45099</v>
      </c>
      <c r="F41" s="4" t="s">
        <v>71</v>
      </c>
      <c r="G41" s="4" t="s">
        <v>8</v>
      </c>
      <c r="H41" s="4">
        <v>45</v>
      </c>
      <c r="I41" s="4" t="str" cm="1">
        <f t="array" ref="I41">_xlfn.IFS(H41&lt;30, "Young Adult", H41&lt;50, "Adult", H41&gt;=50, "Senior")</f>
        <v>Adult</v>
      </c>
      <c r="J41" s="4" t="s">
        <v>2</v>
      </c>
      <c r="K41" s="4">
        <v>1</v>
      </c>
      <c r="L41" s="16">
        <v>50</v>
      </c>
      <c r="M41" s="16">
        <f xml:space="preserve"> K41 * L41</f>
        <v>50</v>
      </c>
      <c r="N41" s="16">
        <f>M41 * $Q$3</f>
        <v>0.75</v>
      </c>
      <c r="O41" s="16">
        <f>M41 * $Q$4</f>
        <v>1</v>
      </c>
    </row>
    <row r="42" spans="1:17">
      <c r="A42" s="2">
        <v>41</v>
      </c>
      <c r="B42" s="4">
        <f>DAY(E42)</f>
        <v>22</v>
      </c>
      <c r="C42" s="4">
        <f>MONTH(E42)</f>
        <v>2</v>
      </c>
      <c r="D42" s="4">
        <f>YEAR(E42)</f>
        <v>2023</v>
      </c>
      <c r="E42" s="3">
        <v>44979</v>
      </c>
      <c r="F42" s="4" t="s">
        <v>72</v>
      </c>
      <c r="G42" s="4" t="s">
        <v>8</v>
      </c>
      <c r="H42" s="4">
        <v>34</v>
      </c>
      <c r="I42" s="4" t="str" cm="1">
        <f t="array" ref="I42">_xlfn.IFS(H42&lt;30, "Young Adult", H42&lt;50, "Adult", H42&gt;=50, "Senior")</f>
        <v>Adult</v>
      </c>
      <c r="J42" s="4" t="s">
        <v>3</v>
      </c>
      <c r="K42" s="4">
        <v>2</v>
      </c>
      <c r="L42" s="16">
        <v>25</v>
      </c>
      <c r="M42" s="16">
        <f xml:space="preserve"> K42 * L42</f>
        <v>50</v>
      </c>
      <c r="N42" s="16">
        <f>M42 * $Q$3</f>
        <v>0.75</v>
      </c>
      <c r="O42" s="16">
        <f>M42 * $Q$4</f>
        <v>1</v>
      </c>
    </row>
    <row r="43" spans="1:17">
      <c r="A43" s="2">
        <v>42</v>
      </c>
      <c r="B43" s="4">
        <f>DAY(E43)</f>
        <v>17</v>
      </c>
      <c r="C43" s="4">
        <f>MONTH(E43)</f>
        <v>2</v>
      </c>
      <c r="D43" s="4">
        <f>YEAR(E43)</f>
        <v>2023</v>
      </c>
      <c r="E43" s="3">
        <v>44974</v>
      </c>
      <c r="F43" s="4" t="s">
        <v>73</v>
      </c>
      <c r="G43" s="4" t="s">
        <v>8</v>
      </c>
      <c r="H43" s="4">
        <v>22</v>
      </c>
      <c r="I43" s="4" t="str" cm="1">
        <f t="array" ref="I43">_xlfn.IFS(H43&lt;30, "Young Adult", H43&lt;50, "Adult", H43&gt;=50, "Senior")</f>
        <v>Young Adult</v>
      </c>
      <c r="J43" s="4" t="s">
        <v>3</v>
      </c>
      <c r="K43" s="4">
        <v>3</v>
      </c>
      <c r="L43" s="16">
        <v>300</v>
      </c>
      <c r="M43" s="16">
        <f xml:space="preserve"> K43 * L43</f>
        <v>900</v>
      </c>
      <c r="N43" s="16">
        <f>M43 * $Q$3</f>
        <v>13.5</v>
      </c>
      <c r="O43" s="16">
        <f>M43 * $Q$4</f>
        <v>18</v>
      </c>
    </row>
    <row r="44" spans="1:17">
      <c r="A44" s="2">
        <v>43</v>
      </c>
      <c r="B44" s="4">
        <f>DAY(E44)</f>
        <v>14</v>
      </c>
      <c r="C44" s="4">
        <f>MONTH(E44)</f>
        <v>7</v>
      </c>
      <c r="D44" s="4">
        <f>YEAR(E44)</f>
        <v>2023</v>
      </c>
      <c r="E44" s="3">
        <v>45121</v>
      </c>
      <c r="F44" s="4" t="s">
        <v>74</v>
      </c>
      <c r="G44" s="4" t="s">
        <v>7</v>
      </c>
      <c r="H44" s="4">
        <v>48</v>
      </c>
      <c r="I44" s="4" t="str" cm="1">
        <f t="array" ref="I44">_xlfn.IFS(H44&lt;30, "Young Adult", H44&lt;50, "Adult", H44&gt;=50, "Senior")</f>
        <v>Adult</v>
      </c>
      <c r="J44" s="4" t="s">
        <v>3</v>
      </c>
      <c r="K44" s="4">
        <v>1</v>
      </c>
      <c r="L44" s="16">
        <v>300</v>
      </c>
      <c r="M44" s="16">
        <f xml:space="preserve"> K44 * L44</f>
        <v>300</v>
      </c>
      <c r="N44" s="16">
        <f>M44 * $Q$3</f>
        <v>4.5</v>
      </c>
      <c r="O44" s="16">
        <f>M44 * $Q$4</f>
        <v>6</v>
      </c>
    </row>
    <row r="45" spans="1:17">
      <c r="A45" s="2">
        <v>44</v>
      </c>
      <c r="B45" s="4">
        <f>DAY(E45)</f>
        <v>19</v>
      </c>
      <c r="C45" s="4">
        <f>MONTH(E45)</f>
        <v>2</v>
      </c>
      <c r="D45" s="4">
        <f>YEAR(E45)</f>
        <v>2023</v>
      </c>
      <c r="E45" s="3">
        <v>44976</v>
      </c>
      <c r="F45" s="4" t="s">
        <v>75</v>
      </c>
      <c r="G45" s="4" t="s">
        <v>7</v>
      </c>
      <c r="H45" s="4">
        <v>22</v>
      </c>
      <c r="I45" s="4" t="str" cm="1">
        <f t="array" ref="I45">_xlfn.IFS(H45&lt;30, "Young Adult", H45&lt;50, "Adult", H45&gt;=50, "Senior")</f>
        <v>Young Adult</v>
      </c>
      <c r="J45" s="4" t="s">
        <v>3</v>
      </c>
      <c r="K45" s="4">
        <v>1</v>
      </c>
      <c r="L45" s="16">
        <v>25</v>
      </c>
      <c r="M45" s="16">
        <f xml:space="preserve"> K45 * L45</f>
        <v>25</v>
      </c>
      <c r="N45" s="16">
        <f>M45 * $Q$3</f>
        <v>0.375</v>
      </c>
      <c r="O45" s="16">
        <f>M45 * $Q$4</f>
        <v>0.5</v>
      </c>
    </row>
    <row r="46" spans="1:17">
      <c r="A46" s="2">
        <v>45</v>
      </c>
      <c r="B46" s="4">
        <f>DAY(E46)</f>
        <v>3</v>
      </c>
      <c r="C46" s="4">
        <f>MONTH(E46)</f>
        <v>7</v>
      </c>
      <c r="D46" s="4">
        <f>YEAR(E46)</f>
        <v>2023</v>
      </c>
      <c r="E46" s="3">
        <v>45110</v>
      </c>
      <c r="F46" s="4" t="s">
        <v>76</v>
      </c>
      <c r="G46" s="4" t="s">
        <v>7</v>
      </c>
      <c r="H46" s="4">
        <v>55</v>
      </c>
      <c r="I46" s="4" t="str" cm="1">
        <f t="array" ref="I46">_xlfn.IFS(H46&lt;30, "Young Adult", H46&lt;50, "Adult", H46&gt;=50, "Senior")</f>
        <v>Senior</v>
      </c>
      <c r="J46" s="4" t="s">
        <v>4</v>
      </c>
      <c r="K46" s="4">
        <v>1</v>
      </c>
      <c r="L46" s="16">
        <v>30</v>
      </c>
      <c r="M46" s="16">
        <f xml:space="preserve"> K46 * L46</f>
        <v>30</v>
      </c>
      <c r="N46" s="16">
        <f>M46 * $Q$3</f>
        <v>0.44999999999999996</v>
      </c>
      <c r="O46" s="16">
        <f>M46 * $Q$4</f>
        <v>0.6</v>
      </c>
    </row>
    <row r="47" spans="1:17">
      <c r="A47" s="2">
        <v>46</v>
      </c>
      <c r="B47" s="4">
        <f>DAY(E47)</f>
        <v>26</v>
      </c>
      <c r="C47" s="4">
        <f>MONTH(E47)</f>
        <v>6</v>
      </c>
      <c r="D47" s="4">
        <f>YEAR(E47)</f>
        <v>2023</v>
      </c>
      <c r="E47" s="3">
        <v>45103</v>
      </c>
      <c r="F47" s="4" t="s">
        <v>77</v>
      </c>
      <c r="G47" s="4" t="s">
        <v>7</v>
      </c>
      <c r="H47" s="4">
        <v>20</v>
      </c>
      <c r="I47" s="4" t="str" cm="1">
        <f t="array" ref="I47">_xlfn.IFS(H47&lt;30, "Young Adult", H47&lt;50, "Adult", H47&gt;=50, "Senior")</f>
        <v>Young Adult</v>
      </c>
      <c r="J47" s="4" t="s">
        <v>4</v>
      </c>
      <c r="K47" s="4">
        <v>4</v>
      </c>
      <c r="L47" s="16">
        <v>300</v>
      </c>
      <c r="M47" s="16">
        <f xml:space="preserve"> K47 * L47</f>
        <v>1200</v>
      </c>
      <c r="N47" s="16">
        <f>M47 * $Q$3</f>
        <v>18</v>
      </c>
      <c r="O47" s="16">
        <f>M47 * $Q$4</f>
        <v>24</v>
      </c>
    </row>
    <row r="48" spans="1:17">
      <c r="A48" s="2">
        <v>47</v>
      </c>
      <c r="B48" s="4">
        <f>DAY(E48)</f>
        <v>6</v>
      </c>
      <c r="C48" s="4">
        <f>MONTH(E48)</f>
        <v>11</v>
      </c>
      <c r="D48" s="4">
        <f>YEAR(E48)</f>
        <v>2023</v>
      </c>
      <c r="E48" s="3">
        <v>45236</v>
      </c>
      <c r="F48" s="4" t="s">
        <v>78</v>
      </c>
      <c r="G48" s="4" t="s">
        <v>7</v>
      </c>
      <c r="H48" s="4">
        <v>40</v>
      </c>
      <c r="I48" s="4" t="str" cm="1">
        <f t="array" ref="I48">_xlfn.IFS(H48&lt;30, "Young Adult", H48&lt;50, "Adult", H48&gt;=50, "Senior")</f>
        <v>Adult</v>
      </c>
      <c r="J48" s="4" t="s">
        <v>2</v>
      </c>
      <c r="K48" s="4">
        <v>3</v>
      </c>
      <c r="L48" s="16">
        <v>500</v>
      </c>
      <c r="M48" s="16">
        <f xml:space="preserve"> K48 * L48</f>
        <v>1500</v>
      </c>
      <c r="N48" s="16">
        <f>M48 * $Q$3</f>
        <v>22.5</v>
      </c>
      <c r="O48" s="16">
        <f>M48 * $Q$4</f>
        <v>30</v>
      </c>
    </row>
    <row r="49" spans="1:15">
      <c r="A49" s="2">
        <v>48</v>
      </c>
      <c r="B49" s="4">
        <f>DAY(E49)</f>
        <v>16</v>
      </c>
      <c r="C49" s="4">
        <f>MONTH(E49)</f>
        <v>5</v>
      </c>
      <c r="D49" s="4">
        <f>YEAR(E49)</f>
        <v>2023</v>
      </c>
      <c r="E49" s="3">
        <v>45062</v>
      </c>
      <c r="F49" s="4" t="s">
        <v>79</v>
      </c>
      <c r="G49" s="4" t="s">
        <v>8</v>
      </c>
      <c r="H49" s="4">
        <v>54</v>
      </c>
      <c r="I49" s="4" t="str" cm="1">
        <f t="array" ref="I49">_xlfn.IFS(H49&lt;30, "Young Adult", H49&lt;50, "Adult", H49&gt;=50, "Senior")</f>
        <v>Senior</v>
      </c>
      <c r="J49" s="4" t="s">
        <v>4</v>
      </c>
      <c r="K49" s="4">
        <v>3</v>
      </c>
      <c r="L49" s="16">
        <v>300</v>
      </c>
      <c r="M49" s="16">
        <f xml:space="preserve"> K49 * L49</f>
        <v>900</v>
      </c>
      <c r="N49" s="16">
        <f>M49 * $Q$3</f>
        <v>13.5</v>
      </c>
      <c r="O49" s="16">
        <f>M49 * $Q$4</f>
        <v>18</v>
      </c>
    </row>
    <row r="50" spans="1:15">
      <c r="A50" s="2">
        <v>49</v>
      </c>
      <c r="B50" s="4">
        <f>DAY(E50)</f>
        <v>23</v>
      </c>
      <c r="C50" s="4">
        <f>MONTH(E50)</f>
        <v>1</v>
      </c>
      <c r="D50" s="4">
        <f>YEAR(E50)</f>
        <v>2023</v>
      </c>
      <c r="E50" s="3">
        <v>44949</v>
      </c>
      <c r="F50" s="4" t="s">
        <v>80</v>
      </c>
      <c r="G50" s="4" t="s">
        <v>7</v>
      </c>
      <c r="H50" s="4">
        <v>54</v>
      </c>
      <c r="I50" s="4" t="str" cm="1">
        <f t="array" ref="I50">_xlfn.IFS(H50&lt;30, "Young Adult", H50&lt;50, "Adult", H50&gt;=50, "Senior")</f>
        <v>Senior</v>
      </c>
      <c r="J50" s="4" t="s">
        <v>4</v>
      </c>
      <c r="K50" s="4">
        <v>2</v>
      </c>
      <c r="L50" s="16">
        <v>500</v>
      </c>
      <c r="M50" s="16">
        <f xml:space="preserve"> K50 * L50</f>
        <v>1000</v>
      </c>
      <c r="N50" s="16">
        <f>M50 * $Q$3</f>
        <v>15</v>
      </c>
      <c r="O50" s="16">
        <f>M50 * $Q$4</f>
        <v>20</v>
      </c>
    </row>
    <row r="51" spans="1:15">
      <c r="A51" s="2">
        <v>50</v>
      </c>
      <c r="B51" s="4">
        <f>DAY(E51)</f>
        <v>24</v>
      </c>
      <c r="C51" s="4">
        <f>MONTH(E51)</f>
        <v>8</v>
      </c>
      <c r="D51" s="4">
        <f>YEAR(E51)</f>
        <v>2023</v>
      </c>
      <c r="E51" s="3">
        <v>45162</v>
      </c>
      <c r="F51" s="4" t="s">
        <v>81</v>
      </c>
      <c r="G51" s="4" t="s">
        <v>7</v>
      </c>
      <c r="H51" s="4">
        <v>27</v>
      </c>
      <c r="I51" s="4" t="str" cm="1">
        <f t="array" ref="I51">_xlfn.IFS(H51&lt;30, "Young Adult", H51&lt;50, "Adult", H51&gt;=50, "Senior")</f>
        <v>Young Adult</v>
      </c>
      <c r="J51" s="4" t="s">
        <v>2</v>
      </c>
      <c r="K51" s="4">
        <v>3</v>
      </c>
      <c r="L51" s="16">
        <v>25</v>
      </c>
      <c r="M51" s="16">
        <f xml:space="preserve"> K51 * L51</f>
        <v>75</v>
      </c>
      <c r="N51" s="16">
        <f>M51 * $Q$3</f>
        <v>1.125</v>
      </c>
      <c r="O51" s="16">
        <f>M51 * $Q$4</f>
        <v>1.5</v>
      </c>
    </row>
    <row r="52" spans="1:15">
      <c r="A52" s="2">
        <v>51</v>
      </c>
      <c r="B52" s="4">
        <f>DAY(E52)</f>
        <v>2</v>
      </c>
      <c r="C52" s="4">
        <f>MONTH(E52)</f>
        <v>10</v>
      </c>
      <c r="D52" s="4">
        <f>YEAR(E52)</f>
        <v>2023</v>
      </c>
      <c r="E52" s="3">
        <v>45201</v>
      </c>
      <c r="F52" s="4" t="s">
        <v>82</v>
      </c>
      <c r="G52" s="4" t="s">
        <v>8</v>
      </c>
      <c r="H52" s="4">
        <v>27</v>
      </c>
      <c r="I52" s="4" t="str" cm="1">
        <f t="array" ref="I52">_xlfn.IFS(H52&lt;30, "Young Adult", H52&lt;50, "Adult", H52&gt;=50, "Senior")</f>
        <v>Young Adult</v>
      </c>
      <c r="J52" s="4" t="s">
        <v>2</v>
      </c>
      <c r="K52" s="4">
        <v>3</v>
      </c>
      <c r="L52" s="16">
        <v>25</v>
      </c>
      <c r="M52" s="16">
        <f xml:space="preserve"> K52 * L52</f>
        <v>75</v>
      </c>
      <c r="N52" s="16">
        <f>M52 * $Q$3</f>
        <v>1.125</v>
      </c>
      <c r="O52" s="16">
        <f>M52 * $Q$4</f>
        <v>1.5</v>
      </c>
    </row>
    <row r="53" spans="1:15">
      <c r="A53" s="2">
        <v>52</v>
      </c>
      <c r="B53" s="4">
        <f>DAY(E53)</f>
        <v>5</v>
      </c>
      <c r="C53" s="4">
        <f>MONTH(E53)</f>
        <v>3</v>
      </c>
      <c r="D53" s="4">
        <f>YEAR(E53)</f>
        <v>2023</v>
      </c>
      <c r="E53" s="3">
        <v>44990</v>
      </c>
      <c r="F53" s="4" t="s">
        <v>83</v>
      </c>
      <c r="G53" s="4" t="s">
        <v>7</v>
      </c>
      <c r="H53" s="4">
        <v>36</v>
      </c>
      <c r="I53" s="4" t="str" cm="1">
        <f t="array" ref="I53">_xlfn.IFS(H53&lt;30, "Young Adult", H53&lt;50, "Adult", H53&gt;=50, "Senior")</f>
        <v>Adult</v>
      </c>
      <c r="J53" s="4" t="s">
        <v>2</v>
      </c>
      <c r="K53" s="4">
        <v>1</v>
      </c>
      <c r="L53" s="16">
        <v>300</v>
      </c>
      <c r="M53" s="16">
        <f xml:space="preserve"> K53 * L53</f>
        <v>300</v>
      </c>
      <c r="N53" s="16">
        <f>M53 * $Q$3</f>
        <v>4.5</v>
      </c>
      <c r="O53" s="16">
        <f>M53 * $Q$4</f>
        <v>6</v>
      </c>
    </row>
    <row r="54" spans="1:15">
      <c r="A54" s="2">
        <v>53</v>
      </c>
      <c r="B54" s="4">
        <f>DAY(E54)</f>
        <v>13</v>
      </c>
      <c r="C54" s="4">
        <f>MONTH(E54)</f>
        <v>7</v>
      </c>
      <c r="D54" s="4">
        <f>YEAR(E54)</f>
        <v>2023</v>
      </c>
      <c r="E54" s="3">
        <v>45120</v>
      </c>
      <c r="F54" s="4" t="s">
        <v>84</v>
      </c>
      <c r="G54" s="4" t="s">
        <v>8</v>
      </c>
      <c r="H54" s="4">
        <v>34</v>
      </c>
      <c r="I54" s="4" t="str" cm="1">
        <f t="array" ref="I54">_xlfn.IFS(H54&lt;30, "Young Adult", H54&lt;50, "Adult", H54&gt;=50, "Senior")</f>
        <v>Adult</v>
      </c>
      <c r="J54" s="4" t="s">
        <v>4</v>
      </c>
      <c r="K54" s="4">
        <v>2</v>
      </c>
      <c r="L54" s="16">
        <v>50</v>
      </c>
      <c r="M54" s="16">
        <f xml:space="preserve"> K54 * L54</f>
        <v>100</v>
      </c>
      <c r="N54" s="16">
        <f>M54 * $Q$3</f>
        <v>1.5</v>
      </c>
      <c r="O54" s="16">
        <f>M54 * $Q$4</f>
        <v>2</v>
      </c>
    </row>
    <row r="55" spans="1:15">
      <c r="A55" s="2">
        <v>54</v>
      </c>
      <c r="B55" s="4">
        <f>DAY(E55)</f>
        <v>10</v>
      </c>
      <c r="C55" s="4">
        <f>MONTH(E55)</f>
        <v>2</v>
      </c>
      <c r="D55" s="4">
        <f>YEAR(E55)</f>
        <v>2023</v>
      </c>
      <c r="E55" s="3">
        <v>44967</v>
      </c>
      <c r="F55" s="4" t="s">
        <v>85</v>
      </c>
      <c r="G55" s="4" t="s">
        <v>7</v>
      </c>
      <c r="H55" s="4">
        <v>38</v>
      </c>
      <c r="I55" s="4" t="str" cm="1">
        <f t="array" ref="I55">_xlfn.IFS(H55&lt;30, "Young Adult", H55&lt;50, "Adult", H55&gt;=50, "Senior")</f>
        <v>Adult</v>
      </c>
      <c r="J55" s="4" t="s">
        <v>4</v>
      </c>
      <c r="K55" s="4">
        <v>3</v>
      </c>
      <c r="L55" s="16">
        <v>500</v>
      </c>
      <c r="M55" s="16">
        <f xml:space="preserve"> K55 * L55</f>
        <v>1500</v>
      </c>
      <c r="N55" s="16">
        <f>M55 * $Q$3</f>
        <v>22.5</v>
      </c>
      <c r="O55" s="16">
        <f>M55 * $Q$4</f>
        <v>30</v>
      </c>
    </row>
    <row r="56" spans="1:15">
      <c r="A56" s="2">
        <v>55</v>
      </c>
      <c r="B56" s="4">
        <f>DAY(E56)</f>
        <v>10</v>
      </c>
      <c r="C56" s="4">
        <f>MONTH(E56)</f>
        <v>10</v>
      </c>
      <c r="D56" s="4">
        <f>YEAR(E56)</f>
        <v>2023</v>
      </c>
      <c r="E56" s="3">
        <v>45209</v>
      </c>
      <c r="F56" s="4" t="s">
        <v>86</v>
      </c>
      <c r="G56" s="4" t="s">
        <v>8</v>
      </c>
      <c r="H56" s="4">
        <v>31</v>
      </c>
      <c r="I56" s="4" t="str" cm="1">
        <f t="array" ref="I56">_xlfn.IFS(H56&lt;30, "Young Adult", H56&lt;50, "Adult", H56&gt;=50, "Senior")</f>
        <v>Adult</v>
      </c>
      <c r="J56" s="4" t="s">
        <v>2</v>
      </c>
      <c r="K56" s="4">
        <v>4</v>
      </c>
      <c r="L56" s="16">
        <v>30</v>
      </c>
      <c r="M56" s="16">
        <f xml:space="preserve"> K56 * L56</f>
        <v>120</v>
      </c>
      <c r="N56" s="16">
        <f>M56 * $Q$3</f>
        <v>1.7999999999999998</v>
      </c>
      <c r="O56" s="16">
        <f>M56 * $Q$4</f>
        <v>2.4</v>
      </c>
    </row>
    <row r="57" spans="1:15">
      <c r="A57" s="2">
        <v>56</v>
      </c>
      <c r="B57" s="4">
        <f>DAY(E57)</f>
        <v>31</v>
      </c>
      <c r="C57" s="4">
        <f>MONTH(E57)</f>
        <v>5</v>
      </c>
      <c r="D57" s="4">
        <f>YEAR(E57)</f>
        <v>2023</v>
      </c>
      <c r="E57" s="3">
        <v>45077</v>
      </c>
      <c r="F57" s="4" t="s">
        <v>87</v>
      </c>
      <c r="G57" s="4" t="s">
        <v>7</v>
      </c>
      <c r="H57" s="4">
        <v>26</v>
      </c>
      <c r="I57" s="4" t="str" cm="1">
        <f t="array" ref="I57">_xlfn.IFS(H57&lt;30, "Young Adult", H57&lt;50, "Adult", H57&gt;=50, "Senior")</f>
        <v>Young Adult</v>
      </c>
      <c r="J57" s="4" t="s">
        <v>3</v>
      </c>
      <c r="K57" s="4">
        <v>3</v>
      </c>
      <c r="L57" s="16">
        <v>300</v>
      </c>
      <c r="M57" s="16">
        <f xml:space="preserve"> K57 * L57</f>
        <v>900</v>
      </c>
      <c r="N57" s="16">
        <f>M57 * $Q$3</f>
        <v>13.5</v>
      </c>
      <c r="O57" s="16">
        <f>M57 * $Q$4</f>
        <v>18</v>
      </c>
    </row>
    <row r="58" spans="1:15">
      <c r="A58" s="2">
        <v>57</v>
      </c>
      <c r="B58" s="4">
        <f>DAY(E58)</f>
        <v>18</v>
      </c>
      <c r="C58" s="4">
        <f>MONTH(E58)</f>
        <v>11</v>
      </c>
      <c r="D58" s="4">
        <f>YEAR(E58)</f>
        <v>2023</v>
      </c>
      <c r="E58" s="3">
        <v>45248</v>
      </c>
      <c r="F58" s="4" t="s">
        <v>88</v>
      </c>
      <c r="G58" s="4" t="s">
        <v>7</v>
      </c>
      <c r="H58" s="4">
        <v>63</v>
      </c>
      <c r="I58" s="4" t="str" cm="1">
        <f t="array" ref="I58">_xlfn.IFS(H58&lt;30, "Young Adult", H58&lt;50, "Adult", H58&gt;=50, "Senior")</f>
        <v>Senior</v>
      </c>
      <c r="J58" s="4" t="s">
        <v>2</v>
      </c>
      <c r="K58" s="4">
        <v>1</v>
      </c>
      <c r="L58" s="16">
        <v>30</v>
      </c>
      <c r="M58" s="16">
        <f xml:space="preserve"> K58 * L58</f>
        <v>30</v>
      </c>
      <c r="N58" s="16">
        <f>M58 * $Q$3</f>
        <v>0.44999999999999996</v>
      </c>
      <c r="O58" s="16">
        <f>M58 * $Q$4</f>
        <v>0.6</v>
      </c>
    </row>
    <row r="59" spans="1:15">
      <c r="A59" s="2">
        <v>58</v>
      </c>
      <c r="B59" s="4">
        <f>DAY(E59)</f>
        <v>13</v>
      </c>
      <c r="C59" s="4">
        <f>MONTH(E59)</f>
        <v>11</v>
      </c>
      <c r="D59" s="4">
        <f>YEAR(E59)</f>
        <v>2023</v>
      </c>
      <c r="E59" s="3">
        <v>45243</v>
      </c>
      <c r="F59" s="4" t="s">
        <v>89</v>
      </c>
      <c r="G59" s="4" t="s">
        <v>8</v>
      </c>
      <c r="H59" s="4">
        <v>18</v>
      </c>
      <c r="I59" s="4" t="str" cm="1">
        <f t="array" ref="I59">_xlfn.IFS(H59&lt;30, "Young Adult", H59&lt;50, "Adult", H59&gt;=50, "Senior")</f>
        <v>Young Adult</v>
      </c>
      <c r="J59" s="4" t="s">
        <v>3</v>
      </c>
      <c r="K59" s="4">
        <v>4</v>
      </c>
      <c r="L59" s="16">
        <v>300</v>
      </c>
      <c r="M59" s="16">
        <f xml:space="preserve"> K59 * L59</f>
        <v>1200</v>
      </c>
      <c r="N59" s="16">
        <f>M59 * $Q$3</f>
        <v>18</v>
      </c>
      <c r="O59" s="16">
        <f>M59 * $Q$4</f>
        <v>24</v>
      </c>
    </row>
    <row r="60" spans="1:15">
      <c r="A60" s="2">
        <v>59</v>
      </c>
      <c r="B60" s="4">
        <f>DAY(E60)</f>
        <v>5</v>
      </c>
      <c r="C60" s="4">
        <f>MONTH(E60)</f>
        <v>7</v>
      </c>
      <c r="D60" s="4">
        <f>YEAR(E60)</f>
        <v>2023</v>
      </c>
      <c r="E60" s="3">
        <v>45112</v>
      </c>
      <c r="F60" s="4" t="s">
        <v>90</v>
      </c>
      <c r="G60" s="4" t="s">
        <v>8</v>
      </c>
      <c r="H60" s="4">
        <v>62</v>
      </c>
      <c r="I60" s="4" t="str" cm="1">
        <f t="array" ref="I60">_xlfn.IFS(H60&lt;30, "Young Adult", H60&lt;50, "Adult", H60&gt;=50, "Senior")</f>
        <v>Senior</v>
      </c>
      <c r="J60" s="4" t="s">
        <v>3</v>
      </c>
      <c r="K60" s="4">
        <v>1</v>
      </c>
      <c r="L60" s="16">
        <v>50</v>
      </c>
      <c r="M60" s="16">
        <f xml:space="preserve"> K60 * L60</f>
        <v>50</v>
      </c>
      <c r="N60" s="16">
        <f>M60 * $Q$3</f>
        <v>0.75</v>
      </c>
      <c r="O60" s="16">
        <f>M60 * $Q$4</f>
        <v>1</v>
      </c>
    </row>
    <row r="61" spans="1:15">
      <c r="A61" s="2">
        <v>60</v>
      </c>
      <c r="B61" s="4">
        <f>DAY(E61)</f>
        <v>23</v>
      </c>
      <c r="C61" s="4">
        <f>MONTH(E61)</f>
        <v>10</v>
      </c>
      <c r="D61" s="4">
        <f>YEAR(E61)</f>
        <v>2023</v>
      </c>
      <c r="E61" s="3">
        <v>45222</v>
      </c>
      <c r="F61" s="4" t="s">
        <v>91</v>
      </c>
      <c r="G61" s="4" t="s">
        <v>8</v>
      </c>
      <c r="H61" s="4">
        <v>30</v>
      </c>
      <c r="I61" s="4" t="str" cm="1">
        <f t="array" ref="I61">_xlfn.IFS(H61&lt;30, "Young Adult", H61&lt;50, "Adult", H61&gt;=50, "Senior")</f>
        <v>Adult</v>
      </c>
      <c r="J61" s="4" t="s">
        <v>2</v>
      </c>
      <c r="K61" s="4">
        <v>3</v>
      </c>
      <c r="L61" s="16">
        <v>50</v>
      </c>
      <c r="M61" s="16">
        <f xml:space="preserve"> K61 * L61</f>
        <v>150</v>
      </c>
      <c r="N61" s="16">
        <f>M61 * $Q$3</f>
        <v>2.25</v>
      </c>
      <c r="O61" s="16">
        <f>M61 * $Q$4</f>
        <v>3</v>
      </c>
    </row>
    <row r="62" spans="1:15">
      <c r="A62" s="2">
        <v>61</v>
      </c>
      <c r="B62" s="4">
        <f>DAY(E62)</f>
        <v>9</v>
      </c>
      <c r="C62" s="4">
        <f>MONTH(E62)</f>
        <v>4</v>
      </c>
      <c r="D62" s="4">
        <f>YEAR(E62)</f>
        <v>2023</v>
      </c>
      <c r="E62" s="3">
        <v>45025</v>
      </c>
      <c r="F62" s="4" t="s">
        <v>92</v>
      </c>
      <c r="G62" s="4" t="s">
        <v>8</v>
      </c>
      <c r="H62" s="4">
        <v>21</v>
      </c>
      <c r="I62" s="4" t="str" cm="1">
        <f t="array" ref="I62">_xlfn.IFS(H62&lt;30, "Young Adult", H62&lt;50, "Adult", H62&gt;=50, "Senior")</f>
        <v>Young Adult</v>
      </c>
      <c r="J62" s="4" t="s">
        <v>2</v>
      </c>
      <c r="K62" s="4">
        <v>4</v>
      </c>
      <c r="L62" s="16">
        <v>50</v>
      </c>
      <c r="M62" s="16">
        <f xml:space="preserve"> K62 * L62</f>
        <v>200</v>
      </c>
      <c r="N62" s="16">
        <f>M62 * $Q$3</f>
        <v>3</v>
      </c>
      <c r="O62" s="16">
        <f>M62 * $Q$4</f>
        <v>4</v>
      </c>
    </row>
    <row r="63" spans="1:15">
      <c r="A63" s="2">
        <v>62</v>
      </c>
      <c r="B63" s="4">
        <f>DAY(E63)</f>
        <v>27</v>
      </c>
      <c r="C63" s="4">
        <f>MONTH(E63)</f>
        <v>12</v>
      </c>
      <c r="D63" s="4">
        <f>YEAR(E63)</f>
        <v>2023</v>
      </c>
      <c r="E63" s="3">
        <v>45287</v>
      </c>
      <c r="F63" s="4" t="s">
        <v>93</v>
      </c>
      <c r="G63" s="4" t="s">
        <v>8</v>
      </c>
      <c r="H63" s="4">
        <v>18</v>
      </c>
      <c r="I63" s="4" t="str" cm="1">
        <f t="array" ref="I63">_xlfn.IFS(H63&lt;30, "Young Adult", H63&lt;50, "Adult", H63&gt;=50, "Senior")</f>
        <v>Young Adult</v>
      </c>
      <c r="J63" s="4" t="s">
        <v>2</v>
      </c>
      <c r="K63" s="4">
        <v>2</v>
      </c>
      <c r="L63" s="16">
        <v>50</v>
      </c>
      <c r="M63" s="16">
        <f xml:space="preserve"> K63 * L63</f>
        <v>100</v>
      </c>
      <c r="N63" s="16">
        <f>M63 * $Q$3</f>
        <v>1.5</v>
      </c>
      <c r="O63" s="16">
        <f>M63 * $Q$4</f>
        <v>2</v>
      </c>
    </row>
    <row r="64" spans="1:15">
      <c r="A64" s="2">
        <v>63</v>
      </c>
      <c r="B64" s="4">
        <f>DAY(E64)</f>
        <v>5</v>
      </c>
      <c r="C64" s="4">
        <f>MONTH(E64)</f>
        <v>2</v>
      </c>
      <c r="D64" s="4">
        <f>YEAR(E64)</f>
        <v>2023</v>
      </c>
      <c r="E64" s="3">
        <v>44962</v>
      </c>
      <c r="F64" s="4" t="s">
        <v>94</v>
      </c>
      <c r="G64" s="4" t="s">
        <v>8</v>
      </c>
      <c r="H64" s="4">
        <v>57</v>
      </c>
      <c r="I64" s="4" t="str" cm="1">
        <f t="array" ref="I64">_xlfn.IFS(H64&lt;30, "Young Adult", H64&lt;50, "Adult", H64&gt;=50, "Senior")</f>
        <v>Senior</v>
      </c>
      <c r="J64" s="4" t="s">
        <v>4</v>
      </c>
      <c r="K64" s="4">
        <v>2</v>
      </c>
      <c r="L64" s="16">
        <v>25</v>
      </c>
      <c r="M64" s="16">
        <f xml:space="preserve"> K64 * L64</f>
        <v>50</v>
      </c>
      <c r="N64" s="16">
        <f>M64 * $Q$3</f>
        <v>0.75</v>
      </c>
      <c r="O64" s="16">
        <f>M64 * $Q$4</f>
        <v>1</v>
      </c>
    </row>
    <row r="65" spans="1:15">
      <c r="A65" s="2">
        <v>64</v>
      </c>
      <c r="B65" s="4">
        <f>DAY(E65)</f>
        <v>24</v>
      </c>
      <c r="C65" s="4">
        <f>MONTH(E65)</f>
        <v>1</v>
      </c>
      <c r="D65" s="4">
        <f>YEAR(E65)</f>
        <v>2023</v>
      </c>
      <c r="E65" s="3">
        <v>44950</v>
      </c>
      <c r="F65" s="4" t="s">
        <v>95</v>
      </c>
      <c r="G65" s="4" t="s">
        <v>8</v>
      </c>
      <c r="H65" s="4">
        <v>49</v>
      </c>
      <c r="I65" s="4" t="str" cm="1">
        <f t="array" ref="I65">_xlfn.IFS(H65&lt;30, "Young Adult", H65&lt;50, "Adult", H65&gt;=50, "Senior")</f>
        <v>Adult</v>
      </c>
      <c r="J65" s="4" t="s">
        <v>3</v>
      </c>
      <c r="K65" s="4">
        <v>4</v>
      </c>
      <c r="L65" s="16">
        <v>25</v>
      </c>
      <c r="M65" s="16">
        <f xml:space="preserve"> K65 * L65</f>
        <v>100</v>
      </c>
      <c r="N65" s="16">
        <f>M65 * $Q$3</f>
        <v>1.5</v>
      </c>
      <c r="O65" s="16">
        <f>M65 * $Q$4</f>
        <v>2</v>
      </c>
    </row>
    <row r="66" spans="1:15">
      <c r="A66" s="2">
        <v>65</v>
      </c>
      <c r="B66" s="4">
        <f>DAY(E66)</f>
        <v>5</v>
      </c>
      <c r="C66" s="4">
        <f>MONTH(E66)</f>
        <v>12</v>
      </c>
      <c r="D66" s="4">
        <f>YEAR(E66)</f>
        <v>2023</v>
      </c>
      <c r="E66" s="3">
        <v>45265</v>
      </c>
      <c r="F66" s="4" t="s">
        <v>96</v>
      </c>
      <c r="G66" s="4" t="s">
        <v>8</v>
      </c>
      <c r="H66" s="4">
        <v>51</v>
      </c>
      <c r="I66" s="4" t="str" cm="1">
        <f t="array" ref="I66">_xlfn.IFS(H66&lt;30, "Young Adult", H66&lt;50, "Adult", H66&gt;=50, "Senior")</f>
        <v>Senior</v>
      </c>
      <c r="J66" s="4" t="s">
        <v>4</v>
      </c>
      <c r="K66" s="4">
        <v>4</v>
      </c>
      <c r="L66" s="16">
        <v>500</v>
      </c>
      <c r="M66" s="16">
        <f xml:space="preserve"> K66 * L66</f>
        <v>2000</v>
      </c>
      <c r="N66" s="16">
        <f>M66 * $Q$3</f>
        <v>30</v>
      </c>
      <c r="O66" s="16">
        <f>M66 * $Q$4</f>
        <v>40</v>
      </c>
    </row>
    <row r="67" spans="1:15">
      <c r="A67" s="2">
        <v>66</v>
      </c>
      <c r="B67" s="4">
        <f>DAY(E67)</f>
        <v>27</v>
      </c>
      <c r="C67" s="4">
        <f>MONTH(E67)</f>
        <v>4</v>
      </c>
      <c r="D67" s="4">
        <f>YEAR(E67)</f>
        <v>2023</v>
      </c>
      <c r="E67" s="3">
        <v>45043</v>
      </c>
      <c r="F67" s="4" t="s">
        <v>97</v>
      </c>
      <c r="G67" s="4" t="s">
        <v>7</v>
      </c>
      <c r="H67" s="4">
        <v>45</v>
      </c>
      <c r="I67" s="4" t="str" cm="1">
        <f t="array" ref="I67">_xlfn.IFS(H67&lt;30, "Young Adult", H67&lt;50, "Adult", H67&gt;=50, "Senior")</f>
        <v>Adult</v>
      </c>
      <c r="J67" s="4" t="s">
        <v>4</v>
      </c>
      <c r="K67" s="4">
        <v>1</v>
      </c>
      <c r="L67" s="16">
        <v>30</v>
      </c>
      <c r="M67" s="16">
        <f xml:space="preserve"> K67 * L67</f>
        <v>30</v>
      </c>
      <c r="N67" s="16">
        <f>M67 * $Q$3</f>
        <v>0.44999999999999996</v>
      </c>
      <c r="O67" s="16">
        <f>M67 * $Q$4</f>
        <v>0.6</v>
      </c>
    </row>
    <row r="68" spans="1:15">
      <c r="A68" s="2">
        <v>67</v>
      </c>
      <c r="B68" s="4">
        <f>DAY(E68)</f>
        <v>29</v>
      </c>
      <c r="C68" s="4">
        <f>MONTH(E68)</f>
        <v>5</v>
      </c>
      <c r="D68" s="4">
        <f>YEAR(E68)</f>
        <v>2023</v>
      </c>
      <c r="E68" s="3">
        <v>45075</v>
      </c>
      <c r="F68" s="4" t="s">
        <v>98</v>
      </c>
      <c r="G68" s="4" t="s">
        <v>7</v>
      </c>
      <c r="H68" s="4">
        <v>48</v>
      </c>
      <c r="I68" s="4" t="str" cm="1">
        <f t="array" ref="I68">_xlfn.IFS(H68&lt;30, "Young Adult", H68&lt;50, "Adult", H68&gt;=50, "Senior")</f>
        <v>Adult</v>
      </c>
      <c r="J68" s="4" t="s">
        <v>2</v>
      </c>
      <c r="K68" s="4">
        <v>4</v>
      </c>
      <c r="L68" s="16">
        <v>300</v>
      </c>
      <c r="M68" s="16">
        <f xml:space="preserve"> K68 * L68</f>
        <v>1200</v>
      </c>
      <c r="N68" s="16">
        <f>M68 * $Q$3</f>
        <v>18</v>
      </c>
      <c r="O68" s="16">
        <f>M68 * $Q$4</f>
        <v>24</v>
      </c>
    </row>
    <row r="69" spans="1:15">
      <c r="A69" s="2">
        <v>68</v>
      </c>
      <c r="B69" s="4">
        <f>DAY(E69)</f>
        <v>10</v>
      </c>
      <c r="C69" s="4">
        <f>MONTH(E69)</f>
        <v>2</v>
      </c>
      <c r="D69" s="4">
        <f>YEAR(E69)</f>
        <v>2023</v>
      </c>
      <c r="E69" s="3">
        <v>44967</v>
      </c>
      <c r="F69" s="4" t="s">
        <v>99</v>
      </c>
      <c r="G69" s="4" t="s">
        <v>8</v>
      </c>
      <c r="H69" s="4">
        <v>25</v>
      </c>
      <c r="I69" s="4" t="str" cm="1">
        <f t="array" ref="I69">_xlfn.IFS(H69&lt;30, "Young Adult", H69&lt;50, "Adult", H69&gt;=50, "Senior")</f>
        <v>Young Adult</v>
      </c>
      <c r="J69" s="4" t="s">
        <v>4</v>
      </c>
      <c r="K69" s="4">
        <v>1</v>
      </c>
      <c r="L69" s="16">
        <v>300</v>
      </c>
      <c r="M69" s="16">
        <f xml:space="preserve"> K69 * L69</f>
        <v>300</v>
      </c>
      <c r="N69" s="16">
        <f>M69 * $Q$3</f>
        <v>4.5</v>
      </c>
      <c r="O69" s="16">
        <f>M69 * $Q$4</f>
        <v>6</v>
      </c>
    </row>
    <row r="70" spans="1:15">
      <c r="A70" s="2">
        <v>69</v>
      </c>
      <c r="B70" s="4">
        <f>DAY(E70)</f>
        <v>30</v>
      </c>
      <c r="C70" s="4">
        <f>MONTH(E70)</f>
        <v>4</v>
      </c>
      <c r="D70" s="4">
        <f>YEAR(E70)</f>
        <v>2023</v>
      </c>
      <c r="E70" s="3">
        <v>45046</v>
      </c>
      <c r="F70" s="4" t="s">
        <v>100</v>
      </c>
      <c r="G70" s="4" t="s">
        <v>7</v>
      </c>
      <c r="H70" s="4">
        <v>56</v>
      </c>
      <c r="I70" s="4" t="str" cm="1">
        <f t="array" ref="I70">_xlfn.IFS(H70&lt;30, "Young Adult", H70&lt;50, "Adult", H70&gt;=50, "Senior")</f>
        <v>Senior</v>
      </c>
      <c r="J70" s="4" t="s">
        <v>2</v>
      </c>
      <c r="K70" s="4">
        <v>3</v>
      </c>
      <c r="L70" s="16">
        <v>25</v>
      </c>
      <c r="M70" s="16">
        <f xml:space="preserve"> K70 * L70</f>
        <v>75</v>
      </c>
      <c r="N70" s="16">
        <f>M70 * $Q$3</f>
        <v>1.125</v>
      </c>
      <c r="O70" s="16">
        <f>M70 * $Q$4</f>
        <v>1.5</v>
      </c>
    </row>
    <row r="71" spans="1:15">
      <c r="A71" s="2">
        <v>70</v>
      </c>
      <c r="B71" s="4">
        <f>DAY(E71)</f>
        <v>21</v>
      </c>
      <c r="C71" s="4">
        <f>MONTH(E71)</f>
        <v>2</v>
      </c>
      <c r="D71" s="4">
        <f>YEAR(E71)</f>
        <v>2023</v>
      </c>
      <c r="E71" s="3">
        <v>44978</v>
      </c>
      <c r="F71" s="4" t="s">
        <v>101</v>
      </c>
      <c r="G71" s="4" t="s">
        <v>7</v>
      </c>
      <c r="H71" s="4">
        <v>43</v>
      </c>
      <c r="I71" s="4" t="str" cm="1">
        <f t="array" ref="I71">_xlfn.IFS(H71&lt;30, "Young Adult", H71&lt;50, "Adult", H71&gt;=50, "Senior")</f>
        <v>Adult</v>
      </c>
      <c r="J71" s="4" t="s">
        <v>3</v>
      </c>
      <c r="K71" s="4">
        <v>1</v>
      </c>
      <c r="L71" s="16">
        <v>300</v>
      </c>
      <c r="M71" s="16">
        <f xml:space="preserve"> K71 * L71</f>
        <v>300</v>
      </c>
      <c r="N71" s="16">
        <f>M71 * $Q$3</f>
        <v>4.5</v>
      </c>
      <c r="O71" s="16">
        <f>M71 * $Q$4</f>
        <v>6</v>
      </c>
    </row>
    <row r="72" spans="1:15">
      <c r="A72" s="2">
        <v>71</v>
      </c>
      <c r="B72" s="4">
        <f>DAY(E72)</f>
        <v>14</v>
      </c>
      <c r="C72" s="4">
        <f>MONTH(E72)</f>
        <v>7</v>
      </c>
      <c r="D72" s="4">
        <f>YEAR(E72)</f>
        <v>2023</v>
      </c>
      <c r="E72" s="3">
        <v>45121</v>
      </c>
      <c r="F72" s="4" t="s">
        <v>102</v>
      </c>
      <c r="G72" s="4" t="s">
        <v>7</v>
      </c>
      <c r="H72" s="4">
        <v>51</v>
      </c>
      <c r="I72" s="4" t="str" cm="1">
        <f t="array" ref="I72">_xlfn.IFS(H72&lt;30, "Young Adult", H72&lt;50, "Adult", H72&gt;=50, "Senior")</f>
        <v>Senior</v>
      </c>
      <c r="J72" s="4" t="s">
        <v>2</v>
      </c>
      <c r="K72" s="4">
        <v>4</v>
      </c>
      <c r="L72" s="16">
        <v>25</v>
      </c>
      <c r="M72" s="16">
        <f xml:space="preserve"> K72 * L72</f>
        <v>100</v>
      </c>
      <c r="N72" s="16">
        <f>M72 * $Q$3</f>
        <v>1.5</v>
      </c>
      <c r="O72" s="16">
        <f>M72 * $Q$4</f>
        <v>2</v>
      </c>
    </row>
    <row r="73" spans="1:15">
      <c r="A73" s="2">
        <v>72</v>
      </c>
      <c r="B73" s="4">
        <f>DAY(E73)</f>
        <v>23</v>
      </c>
      <c r="C73" s="4">
        <f>MONTH(E73)</f>
        <v>5</v>
      </c>
      <c r="D73" s="4">
        <f>YEAR(E73)</f>
        <v>2023</v>
      </c>
      <c r="E73" s="3">
        <v>45069</v>
      </c>
      <c r="F73" s="4" t="s">
        <v>103</v>
      </c>
      <c r="G73" s="4" t="s">
        <v>7</v>
      </c>
      <c r="H73" s="4">
        <v>20</v>
      </c>
      <c r="I73" s="4" t="str" cm="1">
        <f t="array" ref="I73">_xlfn.IFS(H73&lt;30, "Young Adult", H73&lt;50, "Adult", H73&gt;=50, "Senior")</f>
        <v>Young Adult</v>
      </c>
      <c r="J73" s="4" t="s">
        <v>4</v>
      </c>
      <c r="K73" s="4">
        <v>4</v>
      </c>
      <c r="L73" s="16">
        <v>500</v>
      </c>
      <c r="M73" s="16">
        <f xml:space="preserve"> K73 * L73</f>
        <v>2000</v>
      </c>
      <c r="N73" s="16">
        <f>M73 * $Q$3</f>
        <v>30</v>
      </c>
      <c r="O73" s="16">
        <f>M73 * $Q$4</f>
        <v>40</v>
      </c>
    </row>
    <row r="74" spans="1:15">
      <c r="A74" s="2">
        <v>73</v>
      </c>
      <c r="B74" s="4">
        <f>DAY(E74)</f>
        <v>21</v>
      </c>
      <c r="C74" s="4">
        <f>MONTH(E74)</f>
        <v>8</v>
      </c>
      <c r="D74" s="4">
        <f>YEAR(E74)</f>
        <v>2023</v>
      </c>
      <c r="E74" s="3">
        <v>45159</v>
      </c>
      <c r="F74" s="4" t="s">
        <v>104</v>
      </c>
      <c r="G74" s="4" t="s">
        <v>8</v>
      </c>
      <c r="H74" s="4">
        <v>29</v>
      </c>
      <c r="I74" s="4" t="str" cm="1">
        <f t="array" ref="I74">_xlfn.IFS(H74&lt;30, "Young Adult", H74&lt;50, "Adult", H74&gt;=50, "Senior")</f>
        <v>Young Adult</v>
      </c>
      <c r="J74" s="4" t="s">
        <v>4</v>
      </c>
      <c r="K74" s="4">
        <v>3</v>
      </c>
      <c r="L74" s="16">
        <v>30</v>
      </c>
      <c r="M74" s="16">
        <f xml:space="preserve"> K74 * L74</f>
        <v>90</v>
      </c>
      <c r="N74" s="16">
        <f>M74 * $Q$3</f>
        <v>1.3499999999999999</v>
      </c>
      <c r="O74" s="16">
        <f>M74 * $Q$4</f>
        <v>1.8</v>
      </c>
    </row>
    <row r="75" spans="1:15">
      <c r="A75" s="2">
        <v>74</v>
      </c>
      <c r="B75" s="4">
        <f>DAY(E75)</f>
        <v>22</v>
      </c>
      <c r="C75" s="4">
        <f>MONTH(E75)</f>
        <v>11</v>
      </c>
      <c r="D75" s="4">
        <f>YEAR(E75)</f>
        <v>2023</v>
      </c>
      <c r="E75" s="3">
        <v>45252</v>
      </c>
      <c r="F75" s="4" t="s">
        <v>105</v>
      </c>
      <c r="G75" s="4" t="s">
        <v>7</v>
      </c>
      <c r="H75" s="4">
        <v>18</v>
      </c>
      <c r="I75" s="4" t="str" cm="1">
        <f t="array" ref="I75">_xlfn.IFS(H75&lt;30, "Young Adult", H75&lt;50, "Adult", H75&gt;=50, "Senior")</f>
        <v>Young Adult</v>
      </c>
      <c r="J75" s="4" t="s">
        <v>2</v>
      </c>
      <c r="K75" s="4">
        <v>4</v>
      </c>
      <c r="L75" s="16">
        <v>500</v>
      </c>
      <c r="M75" s="16">
        <f xml:space="preserve"> K75 * L75</f>
        <v>2000</v>
      </c>
      <c r="N75" s="16">
        <f>M75 * $Q$3</f>
        <v>30</v>
      </c>
      <c r="O75" s="16">
        <f>M75 * $Q$4</f>
        <v>40</v>
      </c>
    </row>
    <row r="76" spans="1:15">
      <c r="A76" s="2">
        <v>75</v>
      </c>
      <c r="B76" s="4">
        <f>DAY(E76)</f>
        <v>6</v>
      </c>
      <c r="C76" s="4">
        <f>MONTH(E76)</f>
        <v>7</v>
      </c>
      <c r="D76" s="4">
        <f>YEAR(E76)</f>
        <v>2023</v>
      </c>
      <c r="E76" s="3">
        <v>45113</v>
      </c>
      <c r="F76" s="4" t="s">
        <v>106</v>
      </c>
      <c r="G76" s="4" t="s">
        <v>8</v>
      </c>
      <c r="H76" s="4">
        <v>61</v>
      </c>
      <c r="I76" s="4" t="str" cm="1">
        <f t="array" ref="I76">_xlfn.IFS(H76&lt;30, "Young Adult", H76&lt;50, "Adult", H76&gt;=50, "Senior")</f>
        <v>Senior</v>
      </c>
      <c r="J76" s="4" t="s">
        <v>2</v>
      </c>
      <c r="K76" s="4">
        <v>4</v>
      </c>
      <c r="L76" s="16">
        <v>50</v>
      </c>
      <c r="M76" s="16">
        <f xml:space="preserve"> K76 * L76</f>
        <v>200</v>
      </c>
      <c r="N76" s="16">
        <f>M76 * $Q$3</f>
        <v>3</v>
      </c>
      <c r="O76" s="16">
        <f>M76 * $Q$4</f>
        <v>4</v>
      </c>
    </row>
    <row r="77" spans="1:15">
      <c r="A77" s="2">
        <v>76</v>
      </c>
      <c r="B77" s="4">
        <f>DAY(E77)</f>
        <v>25</v>
      </c>
      <c r="C77" s="4">
        <f>MONTH(E77)</f>
        <v>3</v>
      </c>
      <c r="D77" s="4">
        <f>YEAR(E77)</f>
        <v>2023</v>
      </c>
      <c r="E77" s="3">
        <v>45010</v>
      </c>
      <c r="F77" s="4" t="s">
        <v>107</v>
      </c>
      <c r="G77" s="4" t="s">
        <v>7</v>
      </c>
      <c r="H77" s="4">
        <v>22</v>
      </c>
      <c r="I77" s="4" t="str" cm="1">
        <f t="array" ref="I77">_xlfn.IFS(H77&lt;30, "Young Adult", H77&lt;50, "Adult", H77&gt;=50, "Senior")</f>
        <v>Young Adult</v>
      </c>
      <c r="J77" s="4" t="s">
        <v>4</v>
      </c>
      <c r="K77" s="4">
        <v>2</v>
      </c>
      <c r="L77" s="16">
        <v>50</v>
      </c>
      <c r="M77" s="16">
        <f xml:space="preserve"> K77 * L77</f>
        <v>100</v>
      </c>
      <c r="N77" s="16">
        <f>M77 * $Q$3</f>
        <v>1.5</v>
      </c>
      <c r="O77" s="16">
        <f>M77 * $Q$4</f>
        <v>2</v>
      </c>
    </row>
    <row r="78" spans="1:15">
      <c r="A78" s="2">
        <v>77</v>
      </c>
      <c r="B78" s="4">
        <f>DAY(E78)</f>
        <v>9</v>
      </c>
      <c r="C78" s="4">
        <f>MONTH(E78)</f>
        <v>7</v>
      </c>
      <c r="D78" s="4">
        <f>YEAR(E78)</f>
        <v>2023</v>
      </c>
      <c r="E78" s="3">
        <v>45116</v>
      </c>
      <c r="F78" s="4" t="s">
        <v>108</v>
      </c>
      <c r="G78" s="4" t="s">
        <v>7</v>
      </c>
      <c r="H78" s="4">
        <v>47</v>
      </c>
      <c r="I78" s="4" t="str" cm="1">
        <f t="array" ref="I78">_xlfn.IFS(H78&lt;30, "Young Adult", H78&lt;50, "Adult", H78&gt;=50, "Senior")</f>
        <v>Adult</v>
      </c>
      <c r="J78" s="4" t="s">
        <v>3</v>
      </c>
      <c r="K78" s="4">
        <v>2</v>
      </c>
      <c r="L78" s="16">
        <v>50</v>
      </c>
      <c r="M78" s="16">
        <f xml:space="preserve"> K78 * L78</f>
        <v>100</v>
      </c>
      <c r="N78" s="16">
        <f>M78 * $Q$3</f>
        <v>1.5</v>
      </c>
      <c r="O78" s="16">
        <f>M78 * $Q$4</f>
        <v>2</v>
      </c>
    </row>
    <row r="79" spans="1:15">
      <c r="A79" s="2">
        <v>78</v>
      </c>
      <c r="B79" s="4">
        <f>DAY(E79)</f>
        <v>1</v>
      </c>
      <c r="C79" s="4">
        <f>MONTH(E79)</f>
        <v>7</v>
      </c>
      <c r="D79" s="4">
        <f>YEAR(E79)</f>
        <v>2023</v>
      </c>
      <c r="E79" s="3">
        <v>45108</v>
      </c>
      <c r="F79" s="4" t="s">
        <v>109</v>
      </c>
      <c r="G79" s="4" t="s">
        <v>7</v>
      </c>
      <c r="H79" s="4">
        <v>47</v>
      </c>
      <c r="I79" s="4" t="str" cm="1">
        <f t="array" ref="I79">_xlfn.IFS(H79&lt;30, "Young Adult", H79&lt;50, "Adult", H79&gt;=50, "Senior")</f>
        <v>Adult</v>
      </c>
      <c r="J79" s="4" t="s">
        <v>3</v>
      </c>
      <c r="K79" s="4">
        <v>3</v>
      </c>
      <c r="L79" s="16">
        <v>500</v>
      </c>
      <c r="M79" s="16">
        <f xml:space="preserve"> K79 * L79</f>
        <v>1500</v>
      </c>
      <c r="N79" s="16">
        <f>M79 * $Q$3</f>
        <v>22.5</v>
      </c>
      <c r="O79" s="16">
        <f>M79 * $Q$4</f>
        <v>30</v>
      </c>
    </row>
    <row r="80" spans="1:15">
      <c r="A80" s="2">
        <v>79</v>
      </c>
      <c r="B80" s="4">
        <f>DAY(E80)</f>
        <v>18</v>
      </c>
      <c r="C80" s="4">
        <f>MONTH(E80)</f>
        <v>4</v>
      </c>
      <c r="D80" s="4">
        <f>YEAR(E80)</f>
        <v>2023</v>
      </c>
      <c r="E80" s="3">
        <v>45034</v>
      </c>
      <c r="F80" s="4" t="s">
        <v>110</v>
      </c>
      <c r="G80" s="4" t="s">
        <v>8</v>
      </c>
      <c r="H80" s="4">
        <v>34</v>
      </c>
      <c r="I80" s="4" t="str" cm="1">
        <f t="array" ref="I80">_xlfn.IFS(H80&lt;30, "Young Adult", H80&lt;50, "Adult", H80&gt;=50, "Senior")</f>
        <v>Adult</v>
      </c>
      <c r="J80" s="4" t="s">
        <v>2</v>
      </c>
      <c r="K80" s="4">
        <v>1</v>
      </c>
      <c r="L80" s="16">
        <v>300</v>
      </c>
      <c r="M80" s="16">
        <f xml:space="preserve"> K80 * L80</f>
        <v>300</v>
      </c>
      <c r="N80" s="16">
        <f>M80 * $Q$3</f>
        <v>4.5</v>
      </c>
      <c r="O80" s="16">
        <f>M80 * $Q$4</f>
        <v>6</v>
      </c>
    </row>
    <row r="81" spans="1:15">
      <c r="A81" s="2">
        <v>80</v>
      </c>
      <c r="B81" s="4">
        <f>DAY(E81)</f>
        <v>10</v>
      </c>
      <c r="C81" s="4">
        <f>MONTH(E81)</f>
        <v>12</v>
      </c>
      <c r="D81" s="4">
        <f>YEAR(E81)</f>
        <v>2023</v>
      </c>
      <c r="E81" s="3">
        <v>45270</v>
      </c>
      <c r="F81" s="4" t="s">
        <v>111</v>
      </c>
      <c r="G81" s="4" t="s">
        <v>7</v>
      </c>
      <c r="H81" s="4">
        <v>64</v>
      </c>
      <c r="I81" s="4" t="str" cm="1">
        <f t="array" ref="I81">_xlfn.IFS(H81&lt;30, "Young Adult", H81&lt;50, "Adult", H81&gt;=50, "Senior")</f>
        <v>Senior</v>
      </c>
      <c r="J81" s="4" t="s">
        <v>3</v>
      </c>
      <c r="K81" s="4">
        <v>2</v>
      </c>
      <c r="L81" s="16">
        <v>30</v>
      </c>
      <c r="M81" s="16">
        <f xml:space="preserve"> K81 * L81</f>
        <v>60</v>
      </c>
      <c r="N81" s="16">
        <f>M81 * $Q$3</f>
        <v>0.89999999999999991</v>
      </c>
      <c r="O81" s="16">
        <f>M81 * $Q$4</f>
        <v>1.2</v>
      </c>
    </row>
    <row r="82" spans="1:15">
      <c r="A82" s="2">
        <v>81</v>
      </c>
      <c r="B82" s="4">
        <f>DAY(E82)</f>
        <v>17</v>
      </c>
      <c r="C82" s="4">
        <f>MONTH(E82)</f>
        <v>5</v>
      </c>
      <c r="D82" s="4">
        <f>YEAR(E82)</f>
        <v>2023</v>
      </c>
      <c r="E82" s="3">
        <v>45063</v>
      </c>
      <c r="F82" s="4" t="s">
        <v>112</v>
      </c>
      <c r="G82" s="4" t="s">
        <v>8</v>
      </c>
      <c r="H82" s="4">
        <v>40</v>
      </c>
      <c r="I82" s="4" t="str" cm="1">
        <f t="array" ref="I82">_xlfn.IFS(H82&lt;30, "Young Adult", H82&lt;50, "Adult", H82&gt;=50, "Senior")</f>
        <v>Adult</v>
      </c>
      <c r="J82" s="4" t="s">
        <v>4</v>
      </c>
      <c r="K82" s="4">
        <v>1</v>
      </c>
      <c r="L82" s="16">
        <v>50</v>
      </c>
      <c r="M82" s="16">
        <f xml:space="preserve"> K82 * L82</f>
        <v>50</v>
      </c>
      <c r="N82" s="16">
        <f>M82 * $Q$3</f>
        <v>0.75</v>
      </c>
      <c r="O82" s="16">
        <f>M82 * $Q$4</f>
        <v>1</v>
      </c>
    </row>
    <row r="83" spans="1:15">
      <c r="A83" s="2">
        <v>82</v>
      </c>
      <c r="B83" s="4">
        <f>DAY(E83)</f>
        <v>26</v>
      </c>
      <c r="C83" s="4">
        <f>MONTH(E83)</f>
        <v>12</v>
      </c>
      <c r="D83" s="4">
        <f>YEAR(E83)</f>
        <v>2023</v>
      </c>
      <c r="E83" s="3">
        <v>45286</v>
      </c>
      <c r="F83" s="4" t="s">
        <v>113</v>
      </c>
      <c r="G83" s="4" t="s">
        <v>7</v>
      </c>
      <c r="H83" s="4">
        <v>32</v>
      </c>
      <c r="I83" s="4" t="str" cm="1">
        <f t="array" ref="I83">_xlfn.IFS(H83&lt;30, "Young Adult", H83&lt;50, "Adult", H83&gt;=50, "Senior")</f>
        <v>Adult</v>
      </c>
      <c r="J83" s="4" t="s">
        <v>2</v>
      </c>
      <c r="K83" s="4">
        <v>4</v>
      </c>
      <c r="L83" s="16">
        <v>50</v>
      </c>
      <c r="M83" s="16">
        <f xml:space="preserve"> K83 * L83</f>
        <v>200</v>
      </c>
      <c r="N83" s="16">
        <f>M83 * $Q$3</f>
        <v>3</v>
      </c>
      <c r="O83" s="16">
        <f>M83 * $Q$4</f>
        <v>4</v>
      </c>
    </row>
    <row r="84" spans="1:15">
      <c r="A84" s="2">
        <v>83</v>
      </c>
      <c r="B84" s="4">
        <f>DAY(E84)</f>
        <v>16</v>
      </c>
      <c r="C84" s="4">
        <f>MONTH(E84)</f>
        <v>12</v>
      </c>
      <c r="D84" s="4">
        <f>YEAR(E84)</f>
        <v>2023</v>
      </c>
      <c r="E84" s="3">
        <v>45276</v>
      </c>
      <c r="F84" s="4" t="s">
        <v>114</v>
      </c>
      <c r="G84" s="4" t="s">
        <v>8</v>
      </c>
      <c r="H84" s="4">
        <v>54</v>
      </c>
      <c r="I84" s="4" t="str" cm="1">
        <f t="array" ref="I84">_xlfn.IFS(H84&lt;30, "Young Adult", H84&lt;50, "Adult", H84&gt;=50, "Senior")</f>
        <v>Senior</v>
      </c>
      <c r="J84" s="4" t="s">
        <v>4</v>
      </c>
      <c r="K84" s="4">
        <v>2</v>
      </c>
      <c r="L84" s="16">
        <v>50</v>
      </c>
      <c r="M84" s="16">
        <f xml:space="preserve"> K84 * L84</f>
        <v>100</v>
      </c>
      <c r="N84" s="16">
        <f>M84 * $Q$3</f>
        <v>1.5</v>
      </c>
      <c r="O84" s="16">
        <f>M84 * $Q$4</f>
        <v>2</v>
      </c>
    </row>
    <row r="85" spans="1:15">
      <c r="A85" s="2">
        <v>84</v>
      </c>
      <c r="B85" s="4">
        <f>DAY(E85)</f>
        <v>28</v>
      </c>
      <c r="C85" s="4">
        <f>MONTH(E85)</f>
        <v>11</v>
      </c>
      <c r="D85" s="4">
        <f>YEAR(E85)</f>
        <v>2023</v>
      </c>
      <c r="E85" s="3">
        <v>45258</v>
      </c>
      <c r="F85" s="4" t="s">
        <v>115</v>
      </c>
      <c r="G85" s="4" t="s">
        <v>7</v>
      </c>
      <c r="H85" s="4">
        <v>38</v>
      </c>
      <c r="I85" s="4" t="str" cm="1">
        <f t="array" ref="I85">_xlfn.IFS(H85&lt;30, "Young Adult", H85&lt;50, "Adult", H85&gt;=50, "Senior")</f>
        <v>Adult</v>
      </c>
      <c r="J85" s="4" t="s">
        <v>4</v>
      </c>
      <c r="K85" s="4">
        <v>3</v>
      </c>
      <c r="L85" s="16">
        <v>30</v>
      </c>
      <c r="M85" s="16">
        <f xml:space="preserve"> K85 * L85</f>
        <v>90</v>
      </c>
      <c r="N85" s="16">
        <f>M85 * $Q$3</f>
        <v>1.3499999999999999</v>
      </c>
      <c r="O85" s="16">
        <f>M85 * $Q$4</f>
        <v>1.8</v>
      </c>
    </row>
    <row r="86" spans="1:15">
      <c r="A86" s="2">
        <v>85</v>
      </c>
      <c r="B86" s="4">
        <f>DAY(E86)</f>
        <v>6</v>
      </c>
      <c r="C86" s="4">
        <f>MONTH(E86)</f>
        <v>2</v>
      </c>
      <c r="D86" s="4">
        <f>YEAR(E86)</f>
        <v>2023</v>
      </c>
      <c r="E86" s="3">
        <v>44963</v>
      </c>
      <c r="F86" s="4" t="s">
        <v>116</v>
      </c>
      <c r="G86" s="4" t="s">
        <v>8</v>
      </c>
      <c r="H86" s="4">
        <v>31</v>
      </c>
      <c r="I86" s="4" t="str" cm="1">
        <f t="array" ref="I86">_xlfn.IFS(H86&lt;30, "Young Adult", H86&lt;50, "Adult", H86&gt;=50, "Senior")</f>
        <v>Adult</v>
      </c>
      <c r="J86" s="4" t="s">
        <v>3</v>
      </c>
      <c r="K86" s="4">
        <v>3</v>
      </c>
      <c r="L86" s="16">
        <v>50</v>
      </c>
      <c r="M86" s="16">
        <f xml:space="preserve"> K86 * L86</f>
        <v>150</v>
      </c>
      <c r="N86" s="16">
        <f>M86 * $Q$3</f>
        <v>2.25</v>
      </c>
      <c r="O86" s="16">
        <f>M86 * $Q$4</f>
        <v>3</v>
      </c>
    </row>
    <row r="87" spans="1:15">
      <c r="A87" s="2">
        <v>86</v>
      </c>
      <c r="B87" s="4">
        <f>DAY(E87)</f>
        <v>8</v>
      </c>
      <c r="C87" s="4">
        <f>MONTH(E87)</f>
        <v>11</v>
      </c>
      <c r="D87" s="4">
        <f>YEAR(E87)</f>
        <v>2023</v>
      </c>
      <c r="E87" s="3">
        <v>45238</v>
      </c>
      <c r="F87" s="4" t="s">
        <v>117</v>
      </c>
      <c r="G87" s="4" t="s">
        <v>8</v>
      </c>
      <c r="H87" s="4">
        <v>19</v>
      </c>
      <c r="I87" s="4" t="str" cm="1">
        <f t="array" ref="I87">_xlfn.IFS(H87&lt;30, "Young Adult", H87&lt;50, "Adult", H87&gt;=50, "Senior")</f>
        <v>Young Adult</v>
      </c>
      <c r="J87" s="4" t="s">
        <v>2</v>
      </c>
      <c r="K87" s="4">
        <v>3</v>
      </c>
      <c r="L87" s="16">
        <v>30</v>
      </c>
      <c r="M87" s="16">
        <f xml:space="preserve"> K87 * L87</f>
        <v>90</v>
      </c>
      <c r="N87" s="16">
        <f>M87 * $Q$3</f>
        <v>1.3499999999999999</v>
      </c>
      <c r="O87" s="16">
        <f>M87 * $Q$4</f>
        <v>1.8</v>
      </c>
    </row>
    <row r="88" spans="1:15">
      <c r="A88" s="2">
        <v>87</v>
      </c>
      <c r="B88" s="4">
        <f>DAY(E88)</f>
        <v>22</v>
      </c>
      <c r="C88" s="4">
        <f>MONTH(E88)</f>
        <v>11</v>
      </c>
      <c r="D88" s="4">
        <f>YEAR(E88)</f>
        <v>2023</v>
      </c>
      <c r="E88" s="3">
        <v>45252</v>
      </c>
      <c r="F88" s="4" t="s">
        <v>118</v>
      </c>
      <c r="G88" s="4" t="s">
        <v>7</v>
      </c>
      <c r="H88" s="4">
        <v>28</v>
      </c>
      <c r="I88" s="4" t="str" cm="1">
        <f t="array" ref="I88">_xlfn.IFS(H88&lt;30, "Young Adult", H88&lt;50, "Adult", H88&gt;=50, "Senior")</f>
        <v>Young Adult</v>
      </c>
      <c r="J88" s="4" t="s">
        <v>2</v>
      </c>
      <c r="K88" s="4">
        <v>2</v>
      </c>
      <c r="L88" s="16">
        <v>50</v>
      </c>
      <c r="M88" s="16">
        <f xml:space="preserve"> K88 * L88</f>
        <v>100</v>
      </c>
      <c r="N88" s="16">
        <f>M88 * $Q$3</f>
        <v>1.5</v>
      </c>
      <c r="O88" s="16">
        <f>M88 * $Q$4</f>
        <v>2</v>
      </c>
    </row>
    <row r="89" spans="1:15">
      <c r="A89" s="2">
        <v>88</v>
      </c>
      <c r="B89" s="4">
        <f>DAY(E89)</f>
        <v>29</v>
      </c>
      <c r="C89" s="4">
        <f>MONTH(E89)</f>
        <v>3</v>
      </c>
      <c r="D89" s="4">
        <f>YEAR(E89)</f>
        <v>2023</v>
      </c>
      <c r="E89" s="3">
        <v>45014</v>
      </c>
      <c r="F89" s="4" t="s">
        <v>119</v>
      </c>
      <c r="G89" s="4" t="s">
        <v>8</v>
      </c>
      <c r="H89" s="4">
        <v>56</v>
      </c>
      <c r="I89" s="4" t="str" cm="1">
        <f t="array" ref="I89">_xlfn.IFS(H89&lt;30, "Young Adult", H89&lt;50, "Adult", H89&gt;=50, "Senior")</f>
        <v>Senior</v>
      </c>
      <c r="J89" s="4" t="s">
        <v>3</v>
      </c>
      <c r="K89" s="4">
        <v>1</v>
      </c>
      <c r="L89" s="16">
        <v>500</v>
      </c>
      <c r="M89" s="16">
        <f xml:space="preserve"> K89 * L89</f>
        <v>500</v>
      </c>
      <c r="N89" s="16">
        <f>M89 * $Q$3</f>
        <v>7.5</v>
      </c>
      <c r="O89" s="16">
        <f>M89 * $Q$4</f>
        <v>10</v>
      </c>
    </row>
    <row r="90" spans="1:15">
      <c r="A90" s="2">
        <v>89</v>
      </c>
      <c r="B90" s="4">
        <f>DAY(E90)</f>
        <v>1</v>
      </c>
      <c r="C90" s="4">
        <f>MONTH(E90)</f>
        <v>10</v>
      </c>
      <c r="D90" s="4">
        <f>YEAR(E90)</f>
        <v>2023</v>
      </c>
      <c r="E90" s="3">
        <v>45200</v>
      </c>
      <c r="F90" s="4" t="s">
        <v>120</v>
      </c>
      <c r="G90" s="4" t="s">
        <v>7</v>
      </c>
      <c r="H90" s="4">
        <v>55</v>
      </c>
      <c r="I90" s="4" t="str" cm="1">
        <f t="array" ref="I90">_xlfn.IFS(H90&lt;30, "Young Adult", H90&lt;50, "Adult", H90&gt;=50, "Senior")</f>
        <v>Senior</v>
      </c>
      <c r="J90" s="4" t="s">
        <v>4</v>
      </c>
      <c r="K90" s="4">
        <v>4</v>
      </c>
      <c r="L90" s="16">
        <v>500</v>
      </c>
      <c r="M90" s="16">
        <f xml:space="preserve"> K90 * L90</f>
        <v>2000</v>
      </c>
      <c r="N90" s="16">
        <f>M90 * $Q$3</f>
        <v>30</v>
      </c>
      <c r="O90" s="16">
        <f>M90 * $Q$4</f>
        <v>40</v>
      </c>
    </row>
    <row r="91" spans="1:15">
      <c r="A91" s="2">
        <v>90</v>
      </c>
      <c r="B91" s="4">
        <f>DAY(E91)</f>
        <v>6</v>
      </c>
      <c r="C91" s="4">
        <f>MONTH(E91)</f>
        <v>5</v>
      </c>
      <c r="D91" s="4">
        <f>YEAR(E91)</f>
        <v>2023</v>
      </c>
      <c r="E91" s="3">
        <v>45052</v>
      </c>
      <c r="F91" s="4" t="s">
        <v>121</v>
      </c>
      <c r="G91" s="4" t="s">
        <v>7</v>
      </c>
      <c r="H91" s="4">
        <v>51</v>
      </c>
      <c r="I91" s="4" t="str" cm="1">
        <f t="array" ref="I91">_xlfn.IFS(H91&lt;30, "Young Adult", H91&lt;50, "Adult", H91&gt;=50, "Senior")</f>
        <v>Senior</v>
      </c>
      <c r="J91" s="4" t="s">
        <v>4</v>
      </c>
      <c r="K91" s="4">
        <v>1</v>
      </c>
      <c r="L91" s="16">
        <v>30</v>
      </c>
      <c r="M91" s="16">
        <f xml:space="preserve"> K91 * L91</f>
        <v>30</v>
      </c>
      <c r="N91" s="16">
        <f>M91 * $Q$3</f>
        <v>0.44999999999999996</v>
      </c>
      <c r="O91" s="16">
        <f>M91 * $Q$4</f>
        <v>0.6</v>
      </c>
    </row>
    <row r="92" spans="1:15">
      <c r="A92" s="2">
        <v>91</v>
      </c>
      <c r="B92" s="4">
        <f>DAY(E92)</f>
        <v>25</v>
      </c>
      <c r="C92" s="4">
        <f>MONTH(E92)</f>
        <v>3</v>
      </c>
      <c r="D92" s="4">
        <f>YEAR(E92)</f>
        <v>2023</v>
      </c>
      <c r="E92" s="3">
        <v>45010</v>
      </c>
      <c r="F92" s="4" t="s">
        <v>122</v>
      </c>
      <c r="G92" s="4" t="s">
        <v>7</v>
      </c>
      <c r="H92" s="4">
        <v>55</v>
      </c>
      <c r="I92" s="4" t="str" cm="1">
        <f t="array" ref="I92">_xlfn.IFS(H92&lt;30, "Young Adult", H92&lt;50, "Adult", H92&gt;=50, "Senior")</f>
        <v>Senior</v>
      </c>
      <c r="J92" s="4" t="s">
        <v>4</v>
      </c>
      <c r="K92" s="4">
        <v>1</v>
      </c>
      <c r="L92" s="16">
        <v>500</v>
      </c>
      <c r="M92" s="16">
        <f xml:space="preserve"> K92 * L92</f>
        <v>500</v>
      </c>
      <c r="N92" s="16">
        <f>M92 * $Q$3</f>
        <v>7.5</v>
      </c>
      <c r="O92" s="16">
        <f>M92 * $Q$4</f>
        <v>10</v>
      </c>
    </row>
    <row r="93" spans="1:15">
      <c r="A93" s="2">
        <v>92</v>
      </c>
      <c r="B93" s="4">
        <f>DAY(E93)</f>
        <v>25</v>
      </c>
      <c r="C93" s="4">
        <f>MONTH(E93)</f>
        <v>8</v>
      </c>
      <c r="D93" s="4">
        <f>YEAR(E93)</f>
        <v>2023</v>
      </c>
      <c r="E93" s="3">
        <v>45163</v>
      </c>
      <c r="F93" s="4" t="s">
        <v>123</v>
      </c>
      <c r="G93" s="4" t="s">
        <v>7</v>
      </c>
      <c r="H93" s="4">
        <v>51</v>
      </c>
      <c r="I93" s="4" t="str" cm="1">
        <f t="array" ref="I93">_xlfn.IFS(H93&lt;30, "Young Adult", H93&lt;50, "Adult", H93&gt;=50, "Senior")</f>
        <v>Senior</v>
      </c>
      <c r="J93" s="4" t="s">
        <v>4</v>
      </c>
      <c r="K93" s="4">
        <v>4</v>
      </c>
      <c r="L93" s="16">
        <v>30</v>
      </c>
      <c r="M93" s="16">
        <f xml:space="preserve"> K93 * L93</f>
        <v>120</v>
      </c>
      <c r="N93" s="16">
        <f>M93 * $Q$3</f>
        <v>1.7999999999999998</v>
      </c>
      <c r="O93" s="16">
        <f>M93 * $Q$4</f>
        <v>2.4</v>
      </c>
    </row>
    <row r="94" spans="1:15">
      <c r="A94" s="2">
        <v>93</v>
      </c>
      <c r="B94" s="4">
        <f>DAY(E94)</f>
        <v>14</v>
      </c>
      <c r="C94" s="4">
        <f>MONTH(E94)</f>
        <v>7</v>
      </c>
      <c r="D94" s="4">
        <f>YEAR(E94)</f>
        <v>2023</v>
      </c>
      <c r="E94" s="3">
        <v>45121</v>
      </c>
      <c r="F94" s="4" t="s">
        <v>124</v>
      </c>
      <c r="G94" s="4" t="s">
        <v>7</v>
      </c>
      <c r="H94" s="4">
        <v>35</v>
      </c>
      <c r="I94" s="4" t="str" cm="1">
        <f t="array" ref="I94">_xlfn.IFS(H94&lt;30, "Young Adult", H94&lt;50, "Adult", H94&gt;=50, "Senior")</f>
        <v>Adult</v>
      </c>
      <c r="J94" s="4" t="s">
        <v>2</v>
      </c>
      <c r="K94" s="4">
        <v>4</v>
      </c>
      <c r="L94" s="16">
        <v>500</v>
      </c>
      <c r="M94" s="16">
        <f xml:space="preserve"> K94 * L94</f>
        <v>2000</v>
      </c>
      <c r="N94" s="16">
        <f>M94 * $Q$3</f>
        <v>30</v>
      </c>
      <c r="O94" s="16">
        <f>M94 * $Q$4</f>
        <v>40</v>
      </c>
    </row>
    <row r="95" spans="1:15">
      <c r="A95" s="2">
        <v>94</v>
      </c>
      <c r="B95" s="4">
        <f>DAY(E95)</f>
        <v>19</v>
      </c>
      <c r="C95" s="4">
        <f>MONTH(E95)</f>
        <v>5</v>
      </c>
      <c r="D95" s="4">
        <f>YEAR(E95)</f>
        <v>2023</v>
      </c>
      <c r="E95" s="3">
        <v>45065</v>
      </c>
      <c r="F95" s="4" t="s">
        <v>125</v>
      </c>
      <c r="G95" s="4" t="s">
        <v>7</v>
      </c>
      <c r="H95" s="4">
        <v>47</v>
      </c>
      <c r="I95" s="4" t="str" cm="1">
        <f t="array" ref="I95">_xlfn.IFS(H95&lt;30, "Young Adult", H95&lt;50, "Adult", H95&gt;=50, "Senior")</f>
        <v>Adult</v>
      </c>
      <c r="J95" s="4" t="s">
        <v>2</v>
      </c>
      <c r="K95" s="4">
        <v>2</v>
      </c>
      <c r="L95" s="16">
        <v>500</v>
      </c>
      <c r="M95" s="16">
        <f xml:space="preserve"> K95 * L95</f>
        <v>1000</v>
      </c>
      <c r="N95" s="16">
        <f>M95 * $Q$3</f>
        <v>15</v>
      </c>
      <c r="O95" s="16">
        <f>M95 * $Q$4</f>
        <v>20</v>
      </c>
    </row>
    <row r="96" spans="1:15">
      <c r="A96" s="2">
        <v>95</v>
      </c>
      <c r="B96" s="4">
        <f>DAY(E96)</f>
        <v>24</v>
      </c>
      <c r="C96" s="4">
        <f>MONTH(E96)</f>
        <v>11</v>
      </c>
      <c r="D96" s="4">
        <f>YEAR(E96)</f>
        <v>2023</v>
      </c>
      <c r="E96" s="3">
        <v>45254</v>
      </c>
      <c r="F96" s="4" t="s">
        <v>126</v>
      </c>
      <c r="G96" s="4" t="s">
        <v>7</v>
      </c>
      <c r="H96" s="4">
        <v>32</v>
      </c>
      <c r="I96" s="4" t="str" cm="1">
        <f t="array" ref="I96">_xlfn.IFS(H96&lt;30, "Young Adult", H96&lt;50, "Adult", H96&gt;=50, "Senior")</f>
        <v>Adult</v>
      </c>
      <c r="J96" s="4" t="s">
        <v>3</v>
      </c>
      <c r="K96" s="4">
        <v>2</v>
      </c>
      <c r="L96" s="16">
        <v>30</v>
      </c>
      <c r="M96" s="16">
        <f xml:space="preserve"> K96 * L96</f>
        <v>60</v>
      </c>
      <c r="N96" s="16">
        <f>M96 * $Q$3</f>
        <v>0.89999999999999991</v>
      </c>
      <c r="O96" s="16">
        <f>M96 * $Q$4</f>
        <v>1.2</v>
      </c>
    </row>
    <row r="97" spans="1:15">
      <c r="A97" s="2">
        <v>96</v>
      </c>
      <c r="B97" s="4">
        <f>DAY(E97)</f>
        <v>19</v>
      </c>
      <c r="C97" s="4">
        <f>MONTH(E97)</f>
        <v>12</v>
      </c>
      <c r="D97" s="4">
        <f>YEAR(E97)</f>
        <v>2023</v>
      </c>
      <c r="E97" s="3">
        <v>45279</v>
      </c>
      <c r="F97" s="4" t="s">
        <v>127</v>
      </c>
      <c r="G97" s="4" t="s">
        <v>7</v>
      </c>
      <c r="H97" s="4">
        <v>44</v>
      </c>
      <c r="I97" s="4" t="str" cm="1">
        <f t="array" ref="I97">_xlfn.IFS(H97&lt;30, "Young Adult", H97&lt;50, "Adult", H97&gt;=50, "Senior")</f>
        <v>Adult</v>
      </c>
      <c r="J97" s="4" t="s">
        <v>3</v>
      </c>
      <c r="K97" s="4">
        <v>2</v>
      </c>
      <c r="L97" s="16">
        <v>300</v>
      </c>
      <c r="M97" s="16">
        <f xml:space="preserve"> K97 * L97</f>
        <v>600</v>
      </c>
      <c r="N97" s="16">
        <f>M97 * $Q$3</f>
        <v>9</v>
      </c>
      <c r="O97" s="16">
        <f>M97 * $Q$4</f>
        <v>12</v>
      </c>
    </row>
    <row r="98" spans="1:15">
      <c r="A98" s="2">
        <v>97</v>
      </c>
      <c r="B98" s="4">
        <f>DAY(E98)</f>
        <v>13</v>
      </c>
      <c r="C98" s="4">
        <f>MONTH(E98)</f>
        <v>10</v>
      </c>
      <c r="D98" s="4">
        <f>YEAR(E98)</f>
        <v>2023</v>
      </c>
      <c r="E98" s="3">
        <v>45212</v>
      </c>
      <c r="F98" s="4" t="s">
        <v>128</v>
      </c>
      <c r="G98" s="4" t="s">
        <v>7</v>
      </c>
      <c r="H98" s="4">
        <v>51</v>
      </c>
      <c r="I98" s="4" t="str" cm="1">
        <f t="array" ref="I98">_xlfn.IFS(H98&lt;30, "Young Adult", H98&lt;50, "Adult", H98&gt;=50, "Senior")</f>
        <v>Senior</v>
      </c>
      <c r="J98" s="4" t="s">
        <v>2</v>
      </c>
      <c r="K98" s="4">
        <v>2</v>
      </c>
      <c r="L98" s="16">
        <v>500</v>
      </c>
      <c r="M98" s="16">
        <f xml:space="preserve"> K98 * L98</f>
        <v>1000</v>
      </c>
      <c r="N98" s="16">
        <f>M98 * $Q$3</f>
        <v>15</v>
      </c>
      <c r="O98" s="16">
        <f>M98 * $Q$4</f>
        <v>20</v>
      </c>
    </row>
    <row r="99" spans="1:15">
      <c r="A99" s="2">
        <v>98</v>
      </c>
      <c r="B99" s="4">
        <f>DAY(E99)</f>
        <v>23</v>
      </c>
      <c r="C99" s="4">
        <f>MONTH(E99)</f>
        <v>4</v>
      </c>
      <c r="D99" s="4">
        <f>YEAR(E99)</f>
        <v>2023</v>
      </c>
      <c r="E99" s="3">
        <v>45039</v>
      </c>
      <c r="F99" s="4" t="s">
        <v>129</v>
      </c>
      <c r="G99" s="4" t="s">
        <v>7</v>
      </c>
      <c r="H99" s="4">
        <v>55</v>
      </c>
      <c r="I99" s="4" t="str" cm="1">
        <f t="array" ref="I99">_xlfn.IFS(H99&lt;30, "Young Adult", H99&lt;50, "Adult", H99&gt;=50, "Senior")</f>
        <v>Senior</v>
      </c>
      <c r="J99" s="4" t="s">
        <v>2</v>
      </c>
      <c r="K99" s="4">
        <v>2</v>
      </c>
      <c r="L99" s="16">
        <v>50</v>
      </c>
      <c r="M99" s="16">
        <f xml:space="preserve"> K99 * L99</f>
        <v>100</v>
      </c>
      <c r="N99" s="16">
        <f>M99 * $Q$3</f>
        <v>1.5</v>
      </c>
      <c r="O99" s="16">
        <f>M99 * $Q$4</f>
        <v>2</v>
      </c>
    </row>
    <row r="100" spans="1:15">
      <c r="A100" s="2">
        <v>99</v>
      </c>
      <c r="B100" s="4">
        <f>DAY(E100)</f>
        <v>17</v>
      </c>
      <c r="C100" s="4">
        <f>MONTH(E100)</f>
        <v>12</v>
      </c>
      <c r="D100" s="4">
        <f>YEAR(E100)</f>
        <v>2023</v>
      </c>
      <c r="E100" s="3">
        <v>45277</v>
      </c>
      <c r="F100" s="4" t="s">
        <v>130</v>
      </c>
      <c r="G100" s="4" t="s">
        <v>7</v>
      </c>
      <c r="H100" s="4">
        <v>50</v>
      </c>
      <c r="I100" s="4" t="str" cm="1">
        <f t="array" ref="I100">_xlfn.IFS(H100&lt;30, "Young Adult", H100&lt;50, "Adult", H100&gt;=50, "Senior")</f>
        <v>Senior</v>
      </c>
      <c r="J100" s="4" t="s">
        <v>4</v>
      </c>
      <c r="K100" s="4">
        <v>4</v>
      </c>
      <c r="L100" s="16">
        <v>300</v>
      </c>
      <c r="M100" s="16">
        <f xml:space="preserve"> K100 * L100</f>
        <v>1200</v>
      </c>
      <c r="N100" s="16">
        <f>M100 * $Q$3</f>
        <v>18</v>
      </c>
      <c r="O100" s="16">
        <f>M100 * $Q$4</f>
        <v>24</v>
      </c>
    </row>
    <row r="101" spans="1:15">
      <c r="A101" s="2">
        <v>100</v>
      </c>
      <c r="B101" s="4">
        <f>DAY(E101)</f>
        <v>16</v>
      </c>
      <c r="C101" s="4">
        <f>MONTH(E101)</f>
        <v>6</v>
      </c>
      <c r="D101" s="4">
        <f>YEAR(E101)</f>
        <v>2023</v>
      </c>
      <c r="E101" s="3">
        <v>45093</v>
      </c>
      <c r="F101" s="4" t="s">
        <v>131</v>
      </c>
      <c r="G101" s="4" t="s">
        <v>8</v>
      </c>
      <c r="H101" s="4">
        <v>41</v>
      </c>
      <c r="I101" s="4" t="str" cm="1">
        <f t="array" ref="I101">_xlfn.IFS(H101&lt;30, "Young Adult", H101&lt;50, "Adult", H101&gt;=50, "Senior")</f>
        <v>Adult</v>
      </c>
      <c r="J101" s="4" t="s">
        <v>4</v>
      </c>
      <c r="K101" s="4">
        <v>1</v>
      </c>
      <c r="L101" s="16">
        <v>30</v>
      </c>
      <c r="M101" s="16">
        <f xml:space="preserve"> K101 * L101</f>
        <v>30</v>
      </c>
      <c r="N101" s="16">
        <f>M101 * $Q$3</f>
        <v>0.44999999999999996</v>
      </c>
      <c r="O101" s="16">
        <f>M101 * $Q$4</f>
        <v>0.6</v>
      </c>
    </row>
    <row r="102" spans="1:15">
      <c r="A102" s="2">
        <v>101</v>
      </c>
      <c r="B102" s="4">
        <f>DAY(E102)</f>
        <v>29</v>
      </c>
      <c r="C102" s="4">
        <f>MONTH(E102)</f>
        <v>1</v>
      </c>
      <c r="D102" s="4">
        <f>YEAR(E102)</f>
        <v>2023</v>
      </c>
      <c r="E102" s="3">
        <v>44955</v>
      </c>
      <c r="F102" s="4" t="s">
        <v>132</v>
      </c>
      <c r="G102" s="4" t="s">
        <v>8</v>
      </c>
      <c r="H102" s="4">
        <v>32</v>
      </c>
      <c r="I102" s="4" t="str" cm="1">
        <f t="array" ref="I102">_xlfn.IFS(H102&lt;30, "Young Adult", H102&lt;50, "Adult", H102&gt;=50, "Senior")</f>
        <v>Adult</v>
      </c>
      <c r="J102" s="4" t="s">
        <v>3</v>
      </c>
      <c r="K102" s="4">
        <v>2</v>
      </c>
      <c r="L102" s="16">
        <v>300</v>
      </c>
      <c r="M102" s="16">
        <f xml:space="preserve"> K102 * L102</f>
        <v>600</v>
      </c>
      <c r="N102" s="16">
        <f>M102 * $Q$3</f>
        <v>9</v>
      </c>
      <c r="O102" s="16">
        <f>M102 * $Q$4</f>
        <v>12</v>
      </c>
    </row>
    <row r="103" spans="1:15">
      <c r="A103" s="2">
        <v>102</v>
      </c>
      <c r="B103" s="4">
        <f>DAY(E103)</f>
        <v>28</v>
      </c>
      <c r="C103" s="4">
        <f>MONTH(E103)</f>
        <v>4</v>
      </c>
      <c r="D103" s="4">
        <f>YEAR(E103)</f>
        <v>2023</v>
      </c>
      <c r="E103" s="3">
        <v>45044</v>
      </c>
      <c r="F103" s="4" t="s">
        <v>133</v>
      </c>
      <c r="G103" s="4" t="s">
        <v>7</v>
      </c>
      <c r="H103" s="4">
        <v>47</v>
      </c>
      <c r="I103" s="4" t="str" cm="1">
        <f t="array" ref="I103">_xlfn.IFS(H103&lt;30, "Young Adult", H103&lt;50, "Adult", H103&gt;=50, "Senior")</f>
        <v>Adult</v>
      </c>
      <c r="J103" s="4" t="s">
        <v>2</v>
      </c>
      <c r="K103" s="4">
        <v>2</v>
      </c>
      <c r="L103" s="16">
        <v>25</v>
      </c>
      <c r="M103" s="16">
        <f xml:space="preserve"> K103 * L103</f>
        <v>50</v>
      </c>
      <c r="N103" s="16">
        <f>M103 * $Q$3</f>
        <v>0.75</v>
      </c>
      <c r="O103" s="16">
        <f>M103 * $Q$4</f>
        <v>1</v>
      </c>
    </row>
    <row r="104" spans="1:15">
      <c r="A104" s="2">
        <v>103</v>
      </c>
      <c r="B104" s="4">
        <f>DAY(E104)</f>
        <v>17</v>
      </c>
      <c r="C104" s="4">
        <f>MONTH(E104)</f>
        <v>1</v>
      </c>
      <c r="D104" s="4">
        <f>YEAR(E104)</f>
        <v>2023</v>
      </c>
      <c r="E104" s="3">
        <v>44943</v>
      </c>
      <c r="F104" s="4" t="s">
        <v>134</v>
      </c>
      <c r="G104" s="4" t="s">
        <v>7</v>
      </c>
      <c r="H104" s="4">
        <v>59</v>
      </c>
      <c r="I104" s="4" t="str" cm="1">
        <f t="array" ref="I104">_xlfn.IFS(H104&lt;30, "Young Adult", H104&lt;50, "Adult", H104&gt;=50, "Senior")</f>
        <v>Senior</v>
      </c>
      <c r="J104" s="4" t="s">
        <v>3</v>
      </c>
      <c r="K104" s="4">
        <v>1</v>
      </c>
      <c r="L104" s="16">
        <v>25</v>
      </c>
      <c r="M104" s="16">
        <f xml:space="preserve"> K104 * L104</f>
        <v>25</v>
      </c>
      <c r="N104" s="16">
        <f>M104 * $Q$3</f>
        <v>0.375</v>
      </c>
      <c r="O104" s="16">
        <f>M104 * $Q$4</f>
        <v>0.5</v>
      </c>
    </row>
    <row r="105" spans="1:15">
      <c r="A105" s="2">
        <v>104</v>
      </c>
      <c r="B105" s="4">
        <f>DAY(E105)</f>
        <v>11</v>
      </c>
      <c r="C105" s="4">
        <f>MONTH(E105)</f>
        <v>6</v>
      </c>
      <c r="D105" s="4">
        <f>YEAR(E105)</f>
        <v>2023</v>
      </c>
      <c r="E105" s="3">
        <v>45088</v>
      </c>
      <c r="F105" s="4" t="s">
        <v>135</v>
      </c>
      <c r="G105" s="4" t="s">
        <v>7</v>
      </c>
      <c r="H105" s="4">
        <v>34</v>
      </c>
      <c r="I105" s="4" t="str" cm="1">
        <f t="array" ref="I105">_xlfn.IFS(H105&lt;30, "Young Adult", H105&lt;50, "Adult", H105&gt;=50, "Senior")</f>
        <v>Adult</v>
      </c>
      <c r="J105" s="4" t="s">
        <v>2</v>
      </c>
      <c r="K105" s="4">
        <v>2</v>
      </c>
      <c r="L105" s="16">
        <v>500</v>
      </c>
      <c r="M105" s="16">
        <f xml:space="preserve"> K105 * L105</f>
        <v>1000</v>
      </c>
      <c r="N105" s="16">
        <f>M105 * $Q$3</f>
        <v>15</v>
      </c>
      <c r="O105" s="16">
        <f>M105 * $Q$4</f>
        <v>20</v>
      </c>
    </row>
    <row r="106" spans="1:15">
      <c r="A106" s="2">
        <v>105</v>
      </c>
      <c r="B106" s="4">
        <f>DAY(E106)</f>
        <v>25</v>
      </c>
      <c r="C106" s="4">
        <f>MONTH(E106)</f>
        <v>7</v>
      </c>
      <c r="D106" s="4">
        <f>YEAR(E106)</f>
        <v>2023</v>
      </c>
      <c r="E106" s="3">
        <v>45132</v>
      </c>
      <c r="F106" s="4" t="s">
        <v>136</v>
      </c>
      <c r="G106" s="4" t="s">
        <v>7</v>
      </c>
      <c r="H106" s="4">
        <v>22</v>
      </c>
      <c r="I106" s="4" t="str" cm="1">
        <f t="array" ref="I106">_xlfn.IFS(H106&lt;30, "Young Adult", H106&lt;50, "Adult", H106&gt;=50, "Senior")</f>
        <v>Young Adult</v>
      </c>
      <c r="J106" s="4" t="s">
        <v>4</v>
      </c>
      <c r="K106" s="4">
        <v>1</v>
      </c>
      <c r="L106" s="16">
        <v>500</v>
      </c>
      <c r="M106" s="16">
        <f xml:space="preserve"> K106 * L106</f>
        <v>500</v>
      </c>
      <c r="N106" s="16">
        <f>M106 * $Q$3</f>
        <v>7.5</v>
      </c>
      <c r="O106" s="16">
        <f>M106 * $Q$4</f>
        <v>10</v>
      </c>
    </row>
    <row r="107" spans="1:15">
      <c r="A107" s="2">
        <v>106</v>
      </c>
      <c r="B107" s="4">
        <f>DAY(E107)</f>
        <v>18</v>
      </c>
      <c r="C107" s="4">
        <f>MONTH(E107)</f>
        <v>5</v>
      </c>
      <c r="D107" s="4">
        <f>YEAR(E107)</f>
        <v>2023</v>
      </c>
      <c r="E107" s="3">
        <v>45064</v>
      </c>
      <c r="F107" s="4" t="s">
        <v>137</v>
      </c>
      <c r="G107" s="4" t="s">
        <v>7</v>
      </c>
      <c r="H107" s="4">
        <v>46</v>
      </c>
      <c r="I107" s="4" t="str" cm="1">
        <f t="array" ref="I107">_xlfn.IFS(H107&lt;30, "Young Adult", H107&lt;50, "Adult", H107&gt;=50, "Senior")</f>
        <v>Adult</v>
      </c>
      <c r="J107" s="4" t="s">
        <v>3</v>
      </c>
      <c r="K107" s="4">
        <v>1</v>
      </c>
      <c r="L107" s="16">
        <v>50</v>
      </c>
      <c r="M107" s="16">
        <f xml:space="preserve"> K107 * L107</f>
        <v>50</v>
      </c>
      <c r="N107" s="16">
        <f>M107 * $Q$3</f>
        <v>0.75</v>
      </c>
      <c r="O107" s="16">
        <f>M107 * $Q$4</f>
        <v>1</v>
      </c>
    </row>
    <row r="108" spans="1:15">
      <c r="A108" s="2">
        <v>107</v>
      </c>
      <c r="B108" s="4">
        <f>DAY(E108)</f>
        <v>3</v>
      </c>
      <c r="C108" s="4">
        <f>MONTH(E108)</f>
        <v>2</v>
      </c>
      <c r="D108" s="4">
        <f>YEAR(E108)</f>
        <v>2023</v>
      </c>
      <c r="E108" s="3">
        <v>44960</v>
      </c>
      <c r="F108" s="4" t="s">
        <v>138</v>
      </c>
      <c r="G108" s="4" t="s">
        <v>7</v>
      </c>
      <c r="H108" s="4">
        <v>21</v>
      </c>
      <c r="I108" s="4" t="str" cm="1">
        <f t="array" ref="I108">_xlfn.IFS(H108&lt;30, "Young Adult", H108&lt;50, "Adult", H108&gt;=50, "Senior")</f>
        <v>Young Adult</v>
      </c>
      <c r="J108" s="4" t="s">
        <v>3</v>
      </c>
      <c r="K108" s="4">
        <v>4</v>
      </c>
      <c r="L108" s="16">
        <v>300</v>
      </c>
      <c r="M108" s="16">
        <f xml:space="preserve"> K108 * L108</f>
        <v>1200</v>
      </c>
      <c r="N108" s="16">
        <f>M108 * $Q$3</f>
        <v>18</v>
      </c>
      <c r="O108" s="16">
        <f>M108 * $Q$4</f>
        <v>24</v>
      </c>
    </row>
    <row r="109" spans="1:15">
      <c r="A109" s="2">
        <v>108</v>
      </c>
      <c r="B109" s="4">
        <f>DAY(E109)</f>
        <v>19</v>
      </c>
      <c r="C109" s="4">
        <f>MONTH(E109)</f>
        <v>4</v>
      </c>
      <c r="D109" s="4">
        <f>YEAR(E109)</f>
        <v>2023</v>
      </c>
      <c r="E109" s="3">
        <v>45035</v>
      </c>
      <c r="F109" s="4" t="s">
        <v>139</v>
      </c>
      <c r="G109" s="4" t="s">
        <v>7</v>
      </c>
      <c r="H109" s="4">
        <v>27</v>
      </c>
      <c r="I109" s="4" t="str" cm="1">
        <f t="array" ref="I109">_xlfn.IFS(H109&lt;30, "Young Adult", H109&lt;50, "Adult", H109&gt;=50, "Senior")</f>
        <v>Young Adult</v>
      </c>
      <c r="J109" s="4" t="s">
        <v>2</v>
      </c>
      <c r="K109" s="4">
        <v>3</v>
      </c>
      <c r="L109" s="16">
        <v>25</v>
      </c>
      <c r="M109" s="16">
        <f xml:space="preserve"> K109 * L109</f>
        <v>75</v>
      </c>
      <c r="N109" s="16">
        <f>M109 * $Q$3</f>
        <v>1.125</v>
      </c>
      <c r="O109" s="16">
        <f>M109 * $Q$4</f>
        <v>1.5</v>
      </c>
    </row>
    <row r="110" spans="1:15">
      <c r="A110" s="2">
        <v>109</v>
      </c>
      <c r="B110" s="4">
        <f>DAY(E110)</f>
        <v>18</v>
      </c>
      <c r="C110" s="4">
        <f>MONTH(E110)</f>
        <v>10</v>
      </c>
      <c r="D110" s="4">
        <f>YEAR(E110)</f>
        <v>2023</v>
      </c>
      <c r="E110" s="3">
        <v>45217</v>
      </c>
      <c r="F110" s="4" t="s">
        <v>140</v>
      </c>
      <c r="G110" s="4" t="s">
        <v>7</v>
      </c>
      <c r="H110" s="4">
        <v>34</v>
      </c>
      <c r="I110" s="4" t="str" cm="1">
        <f t="array" ref="I110">_xlfn.IFS(H110&lt;30, "Young Adult", H110&lt;50, "Adult", H110&gt;=50, "Senior")</f>
        <v>Adult</v>
      </c>
      <c r="J110" s="4" t="s">
        <v>4</v>
      </c>
      <c r="K110" s="4">
        <v>4</v>
      </c>
      <c r="L110" s="16">
        <v>500</v>
      </c>
      <c r="M110" s="16">
        <f xml:space="preserve"> K110 * L110</f>
        <v>2000</v>
      </c>
      <c r="N110" s="16">
        <f>M110 * $Q$3</f>
        <v>30</v>
      </c>
      <c r="O110" s="16">
        <f>M110 * $Q$4</f>
        <v>40</v>
      </c>
    </row>
    <row r="111" spans="1:15">
      <c r="A111" s="2">
        <v>110</v>
      </c>
      <c r="B111" s="4">
        <f>DAY(E111)</f>
        <v>11</v>
      </c>
      <c r="C111" s="4">
        <f>MONTH(E111)</f>
        <v>6</v>
      </c>
      <c r="D111" s="4">
        <f>YEAR(E111)</f>
        <v>2023</v>
      </c>
      <c r="E111" s="3">
        <v>45088</v>
      </c>
      <c r="F111" s="4" t="s">
        <v>141</v>
      </c>
      <c r="G111" s="4" t="s">
        <v>8</v>
      </c>
      <c r="H111" s="4">
        <v>27</v>
      </c>
      <c r="I111" s="4" t="str" cm="1">
        <f t="array" ref="I111">_xlfn.IFS(H111&lt;30, "Young Adult", H111&lt;50, "Adult", H111&gt;=50, "Senior")</f>
        <v>Young Adult</v>
      </c>
      <c r="J111" s="4" t="s">
        <v>3</v>
      </c>
      <c r="K111" s="4">
        <v>3</v>
      </c>
      <c r="L111" s="16">
        <v>300</v>
      </c>
      <c r="M111" s="16">
        <f xml:space="preserve"> K111 * L111</f>
        <v>900</v>
      </c>
      <c r="N111" s="16">
        <f>M111 * $Q$3</f>
        <v>13.5</v>
      </c>
      <c r="O111" s="16">
        <f>M111 * $Q$4</f>
        <v>18</v>
      </c>
    </row>
    <row r="112" spans="1:15">
      <c r="A112" s="2">
        <v>111</v>
      </c>
      <c r="B112" s="4">
        <f>DAY(E112)</f>
        <v>19</v>
      </c>
      <c r="C112" s="4">
        <f>MONTH(E112)</f>
        <v>4</v>
      </c>
      <c r="D112" s="4">
        <f>YEAR(E112)</f>
        <v>2023</v>
      </c>
      <c r="E112" s="3">
        <v>45035</v>
      </c>
      <c r="F112" s="4" t="s">
        <v>142</v>
      </c>
      <c r="G112" s="4" t="s">
        <v>7</v>
      </c>
      <c r="H112" s="4">
        <v>34</v>
      </c>
      <c r="I112" s="4" t="str" cm="1">
        <f t="array" ref="I112">_xlfn.IFS(H112&lt;30, "Young Adult", H112&lt;50, "Adult", H112&gt;=50, "Senior")</f>
        <v>Adult</v>
      </c>
      <c r="J112" s="4" t="s">
        <v>4</v>
      </c>
      <c r="K112" s="4">
        <v>3</v>
      </c>
      <c r="L112" s="16">
        <v>500</v>
      </c>
      <c r="M112" s="16">
        <f xml:space="preserve"> K112 * L112</f>
        <v>1500</v>
      </c>
      <c r="N112" s="16">
        <f>M112 * $Q$3</f>
        <v>22.5</v>
      </c>
      <c r="O112" s="16">
        <f>M112 * $Q$4</f>
        <v>30</v>
      </c>
    </row>
    <row r="113" spans="1:15">
      <c r="A113" s="2">
        <v>112</v>
      </c>
      <c r="B113" s="4">
        <f>DAY(E113)</f>
        <v>2</v>
      </c>
      <c r="C113" s="4">
        <f>MONTH(E113)</f>
        <v>12</v>
      </c>
      <c r="D113" s="4">
        <f>YEAR(E113)</f>
        <v>2023</v>
      </c>
      <c r="E113" s="3">
        <v>45262</v>
      </c>
      <c r="F113" s="4" t="s">
        <v>143</v>
      </c>
      <c r="G113" s="4" t="s">
        <v>8</v>
      </c>
      <c r="H113" s="4">
        <v>37</v>
      </c>
      <c r="I113" s="4" t="str" cm="1">
        <f t="array" ref="I113">_xlfn.IFS(H113&lt;30, "Young Adult", H113&lt;50, "Adult", H113&gt;=50, "Senior")</f>
        <v>Adult</v>
      </c>
      <c r="J113" s="4" t="s">
        <v>3</v>
      </c>
      <c r="K113" s="4">
        <v>3</v>
      </c>
      <c r="L113" s="16">
        <v>500</v>
      </c>
      <c r="M113" s="16">
        <f xml:space="preserve"> K113 * L113</f>
        <v>1500</v>
      </c>
      <c r="N113" s="16">
        <f>M113 * $Q$3</f>
        <v>22.5</v>
      </c>
      <c r="O113" s="16">
        <f>M113 * $Q$4</f>
        <v>30</v>
      </c>
    </row>
    <row r="114" spans="1:15">
      <c r="A114" s="2">
        <v>113</v>
      </c>
      <c r="B114" s="4">
        <f>DAY(E114)</f>
        <v>13</v>
      </c>
      <c r="C114" s="4">
        <f>MONTH(E114)</f>
        <v>9</v>
      </c>
      <c r="D114" s="4">
        <f>YEAR(E114)</f>
        <v>2023</v>
      </c>
      <c r="E114" s="3">
        <v>45182</v>
      </c>
      <c r="F114" s="4" t="s">
        <v>144</v>
      </c>
      <c r="G114" s="4" t="s">
        <v>7</v>
      </c>
      <c r="H114" s="4">
        <v>41</v>
      </c>
      <c r="I114" s="4" t="str" cm="1">
        <f t="array" ref="I114">_xlfn.IFS(H114&lt;30, "Young Adult", H114&lt;50, "Adult", H114&gt;=50, "Senior")</f>
        <v>Adult</v>
      </c>
      <c r="J114" s="4" t="s">
        <v>4</v>
      </c>
      <c r="K114" s="4">
        <v>2</v>
      </c>
      <c r="L114" s="16">
        <v>25</v>
      </c>
      <c r="M114" s="16">
        <f xml:space="preserve"> K114 * L114</f>
        <v>50</v>
      </c>
      <c r="N114" s="16">
        <f>M114 * $Q$3</f>
        <v>0.75</v>
      </c>
      <c r="O114" s="16">
        <f>M114 * $Q$4</f>
        <v>1</v>
      </c>
    </row>
    <row r="115" spans="1:15">
      <c r="A115" s="2">
        <v>114</v>
      </c>
      <c r="B115" s="4">
        <f>DAY(E115)</f>
        <v>22</v>
      </c>
      <c r="C115" s="4">
        <f>MONTH(E115)</f>
        <v>7</v>
      </c>
      <c r="D115" s="4">
        <f>YEAR(E115)</f>
        <v>2023</v>
      </c>
      <c r="E115" s="3">
        <v>45129</v>
      </c>
      <c r="F115" s="4" t="s">
        <v>145</v>
      </c>
      <c r="G115" s="4" t="s">
        <v>7</v>
      </c>
      <c r="H115" s="4">
        <v>22</v>
      </c>
      <c r="I115" s="4" t="str" cm="1">
        <f t="array" ref="I115">_xlfn.IFS(H115&lt;30, "Young Adult", H115&lt;50, "Adult", H115&gt;=50, "Senior")</f>
        <v>Young Adult</v>
      </c>
      <c r="J115" s="4" t="s">
        <v>2</v>
      </c>
      <c r="K115" s="4">
        <v>4</v>
      </c>
      <c r="L115" s="16">
        <v>25</v>
      </c>
      <c r="M115" s="16">
        <f xml:space="preserve"> K115 * L115</f>
        <v>100</v>
      </c>
      <c r="N115" s="16">
        <f>M115 * $Q$3</f>
        <v>1.5</v>
      </c>
      <c r="O115" s="16">
        <f>M115 * $Q$4</f>
        <v>2</v>
      </c>
    </row>
    <row r="116" spans="1:15">
      <c r="A116" s="2">
        <v>115</v>
      </c>
      <c r="B116" s="4">
        <f>DAY(E116)</f>
        <v>26</v>
      </c>
      <c r="C116" s="4">
        <f>MONTH(E116)</f>
        <v>11</v>
      </c>
      <c r="D116" s="4">
        <f>YEAR(E116)</f>
        <v>2023</v>
      </c>
      <c r="E116" s="3">
        <v>45256</v>
      </c>
      <c r="F116" s="4" t="s">
        <v>146</v>
      </c>
      <c r="G116" s="4" t="s">
        <v>8</v>
      </c>
      <c r="H116" s="4">
        <v>51</v>
      </c>
      <c r="I116" s="4" t="str" cm="1">
        <f t="array" ref="I116">_xlfn.IFS(H116&lt;30, "Young Adult", H116&lt;50, "Adult", H116&gt;=50, "Senior")</f>
        <v>Senior</v>
      </c>
      <c r="J116" s="4" t="s">
        <v>3</v>
      </c>
      <c r="K116" s="4">
        <v>3</v>
      </c>
      <c r="L116" s="16">
        <v>500</v>
      </c>
      <c r="M116" s="16">
        <f xml:space="preserve"> K116 * L116</f>
        <v>1500</v>
      </c>
      <c r="N116" s="16">
        <f>M116 * $Q$3</f>
        <v>22.5</v>
      </c>
      <c r="O116" s="16">
        <f>M116 * $Q$4</f>
        <v>30</v>
      </c>
    </row>
    <row r="117" spans="1:15">
      <c r="A117" s="2">
        <v>116</v>
      </c>
      <c r="B117" s="4">
        <f>DAY(E117)</f>
        <v>23</v>
      </c>
      <c r="C117" s="4">
        <f>MONTH(E117)</f>
        <v>8</v>
      </c>
      <c r="D117" s="4">
        <f>YEAR(E117)</f>
        <v>2023</v>
      </c>
      <c r="E117" s="3">
        <v>45161</v>
      </c>
      <c r="F117" s="4" t="s">
        <v>147</v>
      </c>
      <c r="G117" s="4" t="s">
        <v>7</v>
      </c>
      <c r="H117" s="4">
        <v>23</v>
      </c>
      <c r="I117" s="4" t="str" cm="1">
        <f t="array" ref="I117">_xlfn.IFS(H117&lt;30, "Young Adult", H117&lt;50, "Adult", H117&gt;=50, "Senior")</f>
        <v>Young Adult</v>
      </c>
      <c r="J117" s="4" t="s">
        <v>3</v>
      </c>
      <c r="K117" s="4">
        <v>1</v>
      </c>
      <c r="L117" s="16">
        <v>30</v>
      </c>
      <c r="M117" s="16">
        <f xml:space="preserve"> K117 * L117</f>
        <v>30</v>
      </c>
      <c r="N117" s="16">
        <f>M117 * $Q$3</f>
        <v>0.44999999999999996</v>
      </c>
      <c r="O117" s="16">
        <f>M117 * $Q$4</f>
        <v>0.6</v>
      </c>
    </row>
    <row r="118" spans="1:15">
      <c r="A118" s="2">
        <v>117</v>
      </c>
      <c r="B118" s="4">
        <f>DAY(E118)</f>
        <v>15</v>
      </c>
      <c r="C118" s="4">
        <f>MONTH(E118)</f>
        <v>3</v>
      </c>
      <c r="D118" s="4">
        <f>YEAR(E118)</f>
        <v>2023</v>
      </c>
      <c r="E118" s="3">
        <v>45000</v>
      </c>
      <c r="F118" s="4" t="s">
        <v>148</v>
      </c>
      <c r="G118" s="4" t="s">
        <v>8</v>
      </c>
      <c r="H118" s="4">
        <v>19</v>
      </c>
      <c r="I118" s="4" t="str" cm="1">
        <f t="array" ref="I118">_xlfn.IFS(H118&lt;30, "Young Adult", H118&lt;50, "Adult", H118&gt;=50, "Senior")</f>
        <v>Young Adult</v>
      </c>
      <c r="J118" s="4" t="s">
        <v>4</v>
      </c>
      <c r="K118" s="4">
        <v>2</v>
      </c>
      <c r="L118" s="16">
        <v>500</v>
      </c>
      <c r="M118" s="16">
        <f xml:space="preserve"> K118 * L118</f>
        <v>1000</v>
      </c>
      <c r="N118" s="16">
        <f>M118 * $Q$3</f>
        <v>15</v>
      </c>
      <c r="O118" s="16">
        <f>M118 * $Q$4</f>
        <v>20</v>
      </c>
    </row>
    <row r="119" spans="1:15">
      <c r="A119" s="2">
        <v>118</v>
      </c>
      <c r="B119" s="4">
        <f>DAY(E119)</f>
        <v>16</v>
      </c>
      <c r="C119" s="4">
        <f>MONTH(E119)</f>
        <v>5</v>
      </c>
      <c r="D119" s="4">
        <f>YEAR(E119)</f>
        <v>2023</v>
      </c>
      <c r="E119" s="3">
        <v>45062</v>
      </c>
      <c r="F119" s="4" t="s">
        <v>149</v>
      </c>
      <c r="G119" s="4" t="s">
        <v>7</v>
      </c>
      <c r="H119" s="4">
        <v>30</v>
      </c>
      <c r="I119" s="4" t="str" cm="1">
        <f t="array" ref="I119">_xlfn.IFS(H119&lt;30, "Young Adult", H119&lt;50, "Adult", H119&gt;=50, "Senior")</f>
        <v>Adult</v>
      </c>
      <c r="J119" s="4" t="s">
        <v>4</v>
      </c>
      <c r="K119" s="4">
        <v>4</v>
      </c>
      <c r="L119" s="16">
        <v>500</v>
      </c>
      <c r="M119" s="16">
        <f xml:space="preserve"> K119 * L119</f>
        <v>2000</v>
      </c>
      <c r="N119" s="16">
        <f>M119 * $Q$3</f>
        <v>30</v>
      </c>
      <c r="O119" s="16">
        <f>M119 * $Q$4</f>
        <v>40</v>
      </c>
    </row>
    <row r="120" spans="1:15">
      <c r="A120" s="2">
        <v>119</v>
      </c>
      <c r="B120" s="4">
        <f>DAY(E120)</f>
        <v>13</v>
      </c>
      <c r="C120" s="4">
        <f>MONTH(E120)</f>
        <v>3</v>
      </c>
      <c r="D120" s="4">
        <f>YEAR(E120)</f>
        <v>2023</v>
      </c>
      <c r="E120" s="3">
        <v>44998</v>
      </c>
      <c r="F120" s="4" t="s">
        <v>150</v>
      </c>
      <c r="G120" s="4" t="s">
        <v>7</v>
      </c>
      <c r="H120" s="4">
        <v>60</v>
      </c>
      <c r="I120" s="4" t="str" cm="1">
        <f t="array" ref="I120">_xlfn.IFS(H120&lt;30, "Young Adult", H120&lt;50, "Adult", H120&gt;=50, "Senior")</f>
        <v>Senior</v>
      </c>
      <c r="J120" s="4" t="s">
        <v>3</v>
      </c>
      <c r="K120" s="4">
        <v>3</v>
      </c>
      <c r="L120" s="16">
        <v>50</v>
      </c>
      <c r="M120" s="16">
        <f xml:space="preserve"> K120 * L120</f>
        <v>150</v>
      </c>
      <c r="N120" s="16">
        <f>M120 * $Q$3</f>
        <v>2.25</v>
      </c>
      <c r="O120" s="16">
        <f>M120 * $Q$4</f>
        <v>3</v>
      </c>
    </row>
    <row r="121" spans="1:15">
      <c r="A121" s="2">
        <v>120</v>
      </c>
      <c r="B121" s="4">
        <f>DAY(E121)</f>
        <v>7</v>
      </c>
      <c r="C121" s="4">
        <f>MONTH(E121)</f>
        <v>5</v>
      </c>
      <c r="D121" s="4">
        <f>YEAR(E121)</f>
        <v>2023</v>
      </c>
      <c r="E121" s="3">
        <v>45053</v>
      </c>
      <c r="F121" s="4" t="s">
        <v>151</v>
      </c>
      <c r="G121" s="4" t="s">
        <v>8</v>
      </c>
      <c r="H121" s="4">
        <v>60</v>
      </c>
      <c r="I121" s="4" t="str" cm="1">
        <f t="array" ref="I121">_xlfn.IFS(H121&lt;30, "Young Adult", H121&lt;50, "Adult", H121&gt;=50, "Senior")</f>
        <v>Senior</v>
      </c>
      <c r="J121" s="4" t="s">
        <v>2</v>
      </c>
      <c r="K121" s="4">
        <v>1</v>
      </c>
      <c r="L121" s="16">
        <v>50</v>
      </c>
      <c r="M121" s="16">
        <f xml:space="preserve"> K121 * L121</f>
        <v>50</v>
      </c>
      <c r="N121" s="16">
        <f>M121 * $Q$3</f>
        <v>0.75</v>
      </c>
      <c r="O121" s="16">
        <f>M121 * $Q$4</f>
        <v>1</v>
      </c>
    </row>
    <row r="122" spans="1:15">
      <c r="A122" s="2">
        <v>121</v>
      </c>
      <c r="B122" s="4">
        <f>DAY(E122)</f>
        <v>15</v>
      </c>
      <c r="C122" s="4">
        <f>MONTH(E122)</f>
        <v>10</v>
      </c>
      <c r="D122" s="4">
        <f>YEAR(E122)</f>
        <v>2023</v>
      </c>
      <c r="E122" s="3">
        <v>45214</v>
      </c>
      <c r="F122" s="4" t="s">
        <v>152</v>
      </c>
      <c r="G122" s="4" t="s">
        <v>7</v>
      </c>
      <c r="H122" s="4">
        <v>28</v>
      </c>
      <c r="I122" s="4" t="str" cm="1">
        <f t="array" ref="I122">_xlfn.IFS(H122&lt;30, "Young Adult", H122&lt;50, "Adult", H122&gt;=50, "Senior")</f>
        <v>Young Adult</v>
      </c>
      <c r="J122" s="4" t="s">
        <v>4</v>
      </c>
      <c r="K122" s="4">
        <v>4</v>
      </c>
      <c r="L122" s="16">
        <v>50</v>
      </c>
      <c r="M122" s="16">
        <f xml:space="preserve"> K122 * L122</f>
        <v>200</v>
      </c>
      <c r="N122" s="16">
        <f>M122 * $Q$3</f>
        <v>3</v>
      </c>
      <c r="O122" s="16">
        <f>M122 * $Q$4</f>
        <v>4</v>
      </c>
    </row>
    <row r="123" spans="1:15">
      <c r="A123" s="2">
        <v>122</v>
      </c>
      <c r="B123" s="4">
        <f>DAY(E123)</f>
        <v>3</v>
      </c>
      <c r="C123" s="4">
        <f>MONTH(E123)</f>
        <v>10</v>
      </c>
      <c r="D123" s="4">
        <f>YEAR(E123)</f>
        <v>2023</v>
      </c>
      <c r="E123" s="3">
        <v>45202</v>
      </c>
      <c r="F123" s="4" t="s">
        <v>153</v>
      </c>
      <c r="G123" s="4" t="s">
        <v>8</v>
      </c>
      <c r="H123" s="4">
        <v>64</v>
      </c>
      <c r="I123" s="4" t="str" cm="1">
        <f t="array" ref="I123">_xlfn.IFS(H123&lt;30, "Young Adult", H123&lt;50, "Adult", H123&gt;=50, "Senior")</f>
        <v>Senior</v>
      </c>
      <c r="J123" s="4" t="s">
        <v>4</v>
      </c>
      <c r="K123" s="4">
        <v>4</v>
      </c>
      <c r="L123" s="16">
        <v>30</v>
      </c>
      <c r="M123" s="16">
        <f xml:space="preserve"> K123 * L123</f>
        <v>120</v>
      </c>
      <c r="N123" s="16">
        <f>M123 * $Q$3</f>
        <v>1.7999999999999998</v>
      </c>
      <c r="O123" s="16">
        <f>M123 * $Q$4</f>
        <v>2.4</v>
      </c>
    </row>
    <row r="124" spans="1:15">
      <c r="A124" s="2">
        <v>123</v>
      </c>
      <c r="B124" s="4">
        <f>DAY(E124)</f>
        <v>15</v>
      </c>
      <c r="C124" s="4">
        <f>MONTH(E124)</f>
        <v>5</v>
      </c>
      <c r="D124" s="4">
        <f>YEAR(E124)</f>
        <v>2023</v>
      </c>
      <c r="E124" s="3">
        <v>45061</v>
      </c>
      <c r="F124" s="4" t="s">
        <v>154</v>
      </c>
      <c r="G124" s="4" t="s">
        <v>7</v>
      </c>
      <c r="H124" s="4">
        <v>40</v>
      </c>
      <c r="I124" s="4" t="str" cm="1">
        <f t="array" ref="I124">_xlfn.IFS(H124&lt;30, "Young Adult", H124&lt;50, "Adult", H124&gt;=50, "Senior")</f>
        <v>Adult</v>
      </c>
      <c r="J124" s="4" t="s">
        <v>4</v>
      </c>
      <c r="K124" s="4">
        <v>2</v>
      </c>
      <c r="L124" s="16">
        <v>30</v>
      </c>
      <c r="M124" s="16">
        <f xml:space="preserve"> K124 * L124</f>
        <v>60</v>
      </c>
      <c r="N124" s="16">
        <f>M124 * $Q$3</f>
        <v>0.89999999999999991</v>
      </c>
      <c r="O124" s="16">
        <f>M124 * $Q$4</f>
        <v>1.2</v>
      </c>
    </row>
    <row r="125" spans="1:15">
      <c r="A125" s="2">
        <v>124</v>
      </c>
      <c r="B125" s="4">
        <f>DAY(E125)</f>
        <v>27</v>
      </c>
      <c r="C125" s="4">
        <f>MONTH(E125)</f>
        <v>10</v>
      </c>
      <c r="D125" s="4">
        <f>YEAR(E125)</f>
        <v>2023</v>
      </c>
      <c r="E125" s="3">
        <v>45226</v>
      </c>
      <c r="F125" s="4" t="s">
        <v>155</v>
      </c>
      <c r="G125" s="4" t="s">
        <v>8</v>
      </c>
      <c r="H125" s="4">
        <v>33</v>
      </c>
      <c r="I125" s="4" t="str" cm="1">
        <f t="array" ref="I125">_xlfn.IFS(H125&lt;30, "Young Adult", H125&lt;50, "Adult", H125&gt;=50, "Senior")</f>
        <v>Adult</v>
      </c>
      <c r="J125" s="4" t="s">
        <v>3</v>
      </c>
      <c r="K125" s="4">
        <v>4</v>
      </c>
      <c r="L125" s="16">
        <v>500</v>
      </c>
      <c r="M125" s="16">
        <f xml:space="preserve"> K125 * L125</f>
        <v>2000</v>
      </c>
      <c r="N125" s="16">
        <f>M125 * $Q$3</f>
        <v>30</v>
      </c>
      <c r="O125" s="16">
        <f>M125 * $Q$4</f>
        <v>40</v>
      </c>
    </row>
    <row r="126" spans="1:15">
      <c r="A126" s="2">
        <v>125</v>
      </c>
      <c r="B126" s="4">
        <f>DAY(E126)</f>
        <v>8</v>
      </c>
      <c r="C126" s="4">
        <f>MONTH(E126)</f>
        <v>8</v>
      </c>
      <c r="D126" s="4">
        <f>YEAR(E126)</f>
        <v>2023</v>
      </c>
      <c r="E126" s="3">
        <v>45146</v>
      </c>
      <c r="F126" s="4" t="s">
        <v>156</v>
      </c>
      <c r="G126" s="4" t="s">
        <v>8</v>
      </c>
      <c r="H126" s="4">
        <v>48</v>
      </c>
      <c r="I126" s="4" t="str" cm="1">
        <f t="array" ref="I126">_xlfn.IFS(H126&lt;30, "Young Adult", H126&lt;50, "Adult", H126&gt;=50, "Senior")</f>
        <v>Adult</v>
      </c>
      <c r="J126" s="4" t="s">
        <v>3</v>
      </c>
      <c r="K126" s="4">
        <v>2</v>
      </c>
      <c r="L126" s="16">
        <v>50</v>
      </c>
      <c r="M126" s="16">
        <f xml:space="preserve"> K126 * L126</f>
        <v>100</v>
      </c>
      <c r="N126" s="16">
        <f>M126 * $Q$3</f>
        <v>1.5</v>
      </c>
      <c r="O126" s="16">
        <f>M126 * $Q$4</f>
        <v>2</v>
      </c>
    </row>
    <row r="127" spans="1:15">
      <c r="A127" s="2">
        <v>126</v>
      </c>
      <c r="B127" s="4">
        <f>DAY(E127)</f>
        <v>26</v>
      </c>
      <c r="C127" s="4">
        <f>MONTH(E127)</f>
        <v>10</v>
      </c>
      <c r="D127" s="4">
        <f>YEAR(E127)</f>
        <v>2023</v>
      </c>
      <c r="E127" s="3">
        <v>45225</v>
      </c>
      <c r="F127" s="4" t="s">
        <v>157</v>
      </c>
      <c r="G127" s="4" t="s">
        <v>7</v>
      </c>
      <c r="H127" s="4">
        <v>28</v>
      </c>
      <c r="I127" s="4" t="str" cm="1">
        <f t="array" ref="I127">_xlfn.IFS(H127&lt;30, "Young Adult", H127&lt;50, "Adult", H127&gt;=50, "Senior")</f>
        <v>Young Adult</v>
      </c>
      <c r="J127" s="4" t="s">
        <v>3</v>
      </c>
      <c r="K127" s="4">
        <v>3</v>
      </c>
      <c r="L127" s="16">
        <v>30</v>
      </c>
      <c r="M127" s="16">
        <f xml:space="preserve"> K127 * L127</f>
        <v>90</v>
      </c>
      <c r="N127" s="16">
        <f>M127 * $Q$3</f>
        <v>1.3499999999999999</v>
      </c>
      <c r="O127" s="16">
        <f>M127 * $Q$4</f>
        <v>1.8</v>
      </c>
    </row>
    <row r="128" spans="1:15">
      <c r="A128" s="2">
        <v>127</v>
      </c>
      <c r="B128" s="4">
        <f>DAY(E128)</f>
        <v>24</v>
      </c>
      <c r="C128" s="4">
        <f>MONTH(E128)</f>
        <v>7</v>
      </c>
      <c r="D128" s="4">
        <f>YEAR(E128)</f>
        <v>2023</v>
      </c>
      <c r="E128" s="3">
        <v>45131</v>
      </c>
      <c r="F128" s="4" t="s">
        <v>158</v>
      </c>
      <c r="G128" s="4" t="s">
        <v>7</v>
      </c>
      <c r="H128" s="4">
        <v>33</v>
      </c>
      <c r="I128" s="4" t="str" cm="1">
        <f t="array" ref="I128">_xlfn.IFS(H128&lt;30, "Young Adult", H128&lt;50, "Adult", H128&gt;=50, "Senior")</f>
        <v>Adult</v>
      </c>
      <c r="J128" s="4" t="s">
        <v>3</v>
      </c>
      <c r="K128" s="4">
        <v>2</v>
      </c>
      <c r="L128" s="16">
        <v>25</v>
      </c>
      <c r="M128" s="16">
        <f xml:space="preserve"> K128 * L128</f>
        <v>50</v>
      </c>
      <c r="N128" s="16">
        <f>M128 * $Q$3</f>
        <v>0.75</v>
      </c>
      <c r="O128" s="16">
        <f>M128 * $Q$4</f>
        <v>1</v>
      </c>
    </row>
    <row r="129" spans="1:15">
      <c r="A129" s="2">
        <v>128</v>
      </c>
      <c r="B129" s="4">
        <f>DAY(E129)</f>
        <v>5</v>
      </c>
      <c r="C129" s="4">
        <f>MONTH(E129)</f>
        <v>7</v>
      </c>
      <c r="D129" s="4">
        <f>YEAR(E129)</f>
        <v>2023</v>
      </c>
      <c r="E129" s="3">
        <v>45112</v>
      </c>
      <c r="F129" s="4" t="s">
        <v>159</v>
      </c>
      <c r="G129" s="4" t="s">
        <v>8</v>
      </c>
      <c r="H129" s="4">
        <v>25</v>
      </c>
      <c r="I129" s="4" t="str" cm="1">
        <f t="array" ref="I129">_xlfn.IFS(H129&lt;30, "Young Adult", H129&lt;50, "Adult", H129&gt;=50, "Senior")</f>
        <v>Young Adult</v>
      </c>
      <c r="J129" s="4" t="s">
        <v>2</v>
      </c>
      <c r="K129" s="4">
        <v>1</v>
      </c>
      <c r="L129" s="16">
        <v>500</v>
      </c>
      <c r="M129" s="16">
        <f xml:space="preserve"> K129 * L129</f>
        <v>500</v>
      </c>
      <c r="N129" s="16">
        <f>M129 * $Q$3</f>
        <v>7.5</v>
      </c>
      <c r="O129" s="16">
        <f>M129 * $Q$4</f>
        <v>10</v>
      </c>
    </row>
    <row r="130" spans="1:15">
      <c r="A130" s="2">
        <v>129</v>
      </c>
      <c r="B130" s="4">
        <f>DAY(E130)</f>
        <v>23</v>
      </c>
      <c r="C130" s="4">
        <f>MONTH(E130)</f>
        <v>4</v>
      </c>
      <c r="D130" s="4">
        <f>YEAR(E130)</f>
        <v>2023</v>
      </c>
      <c r="E130" s="3">
        <v>45039</v>
      </c>
      <c r="F130" s="4" t="s">
        <v>160</v>
      </c>
      <c r="G130" s="4" t="s">
        <v>7</v>
      </c>
      <c r="H130" s="4">
        <v>21</v>
      </c>
      <c r="I130" s="4" t="str" cm="1">
        <f t="array" ref="I130">_xlfn.IFS(H130&lt;30, "Young Adult", H130&lt;50, "Adult", H130&gt;=50, "Senior")</f>
        <v>Young Adult</v>
      </c>
      <c r="J130" s="4" t="s">
        <v>2</v>
      </c>
      <c r="K130" s="4">
        <v>2</v>
      </c>
      <c r="L130" s="16">
        <v>300</v>
      </c>
      <c r="M130" s="16">
        <f xml:space="preserve"> K130 * L130</f>
        <v>600</v>
      </c>
      <c r="N130" s="16">
        <f>M130 * $Q$3</f>
        <v>9</v>
      </c>
      <c r="O130" s="16">
        <f>M130 * $Q$4</f>
        <v>12</v>
      </c>
    </row>
    <row r="131" spans="1:15">
      <c r="A131" s="2">
        <v>130</v>
      </c>
      <c r="B131" s="4">
        <f>DAY(E131)</f>
        <v>12</v>
      </c>
      <c r="C131" s="4">
        <f>MONTH(E131)</f>
        <v>3</v>
      </c>
      <c r="D131" s="4">
        <f>YEAR(E131)</f>
        <v>2023</v>
      </c>
      <c r="E131" s="3">
        <v>44997</v>
      </c>
      <c r="F131" s="4" t="s">
        <v>161</v>
      </c>
      <c r="G131" s="4" t="s">
        <v>7</v>
      </c>
      <c r="H131" s="4">
        <v>57</v>
      </c>
      <c r="I131" s="4" t="str" cm="1">
        <f t="array" ref="I131">_xlfn.IFS(H131&lt;30, "Young Adult", H131&lt;50, "Adult", H131&gt;=50, "Senior")</f>
        <v>Senior</v>
      </c>
      <c r="J131" s="4" t="s">
        <v>3</v>
      </c>
      <c r="K131" s="4">
        <v>1</v>
      </c>
      <c r="L131" s="16">
        <v>500</v>
      </c>
      <c r="M131" s="16">
        <f xml:space="preserve"> K131 * L131</f>
        <v>500</v>
      </c>
      <c r="N131" s="16">
        <f>M131 * $Q$3</f>
        <v>7.5</v>
      </c>
      <c r="O131" s="16">
        <f>M131 * $Q$4</f>
        <v>10</v>
      </c>
    </row>
    <row r="132" spans="1:15">
      <c r="A132" s="2">
        <v>131</v>
      </c>
      <c r="B132" s="4">
        <f>DAY(E132)</f>
        <v>18</v>
      </c>
      <c r="C132" s="4">
        <f>MONTH(E132)</f>
        <v>9</v>
      </c>
      <c r="D132" s="4">
        <f>YEAR(E132)</f>
        <v>2023</v>
      </c>
      <c r="E132" s="3">
        <v>45187</v>
      </c>
      <c r="F132" s="4" t="s">
        <v>162</v>
      </c>
      <c r="G132" s="4" t="s">
        <v>7</v>
      </c>
      <c r="H132" s="4">
        <v>21</v>
      </c>
      <c r="I132" s="4" t="str" cm="1">
        <f t="array" ref="I132">_xlfn.IFS(H132&lt;30, "Young Adult", H132&lt;50, "Adult", H132&gt;=50, "Senior")</f>
        <v>Young Adult</v>
      </c>
      <c r="J132" s="4" t="s">
        <v>2</v>
      </c>
      <c r="K132" s="4">
        <v>2</v>
      </c>
      <c r="L132" s="16">
        <v>300</v>
      </c>
      <c r="M132" s="16">
        <f xml:space="preserve"> K132 * L132</f>
        <v>600</v>
      </c>
      <c r="N132" s="16">
        <f>M132 * $Q$3</f>
        <v>9</v>
      </c>
      <c r="O132" s="16">
        <f>M132 * $Q$4</f>
        <v>12</v>
      </c>
    </row>
    <row r="133" spans="1:15">
      <c r="A133" s="2">
        <v>132</v>
      </c>
      <c r="B133" s="4">
        <f>DAY(E133)</f>
        <v>10</v>
      </c>
      <c r="C133" s="4">
        <f>MONTH(E133)</f>
        <v>9</v>
      </c>
      <c r="D133" s="4">
        <f>YEAR(E133)</f>
        <v>2023</v>
      </c>
      <c r="E133" s="3">
        <v>45179</v>
      </c>
      <c r="F133" s="4" t="s">
        <v>163</v>
      </c>
      <c r="G133" s="4" t="s">
        <v>8</v>
      </c>
      <c r="H133" s="4">
        <v>42</v>
      </c>
      <c r="I133" s="4" t="str" cm="1">
        <f t="array" ref="I133">_xlfn.IFS(H133&lt;30, "Young Adult", H133&lt;50, "Adult", H133&gt;=50, "Senior")</f>
        <v>Adult</v>
      </c>
      <c r="J133" s="4" t="s">
        <v>4</v>
      </c>
      <c r="K133" s="4">
        <v>4</v>
      </c>
      <c r="L133" s="16">
        <v>50</v>
      </c>
      <c r="M133" s="16">
        <f xml:space="preserve"> K133 * L133</f>
        <v>200</v>
      </c>
      <c r="N133" s="16">
        <f>M133 * $Q$3</f>
        <v>3</v>
      </c>
      <c r="O133" s="16">
        <f>M133 * $Q$4</f>
        <v>4</v>
      </c>
    </row>
    <row r="134" spans="1:15">
      <c r="A134" s="2">
        <v>133</v>
      </c>
      <c r="B134" s="4">
        <f>DAY(E134)</f>
        <v>16</v>
      </c>
      <c r="C134" s="4">
        <f>MONTH(E134)</f>
        <v>2</v>
      </c>
      <c r="D134" s="4">
        <f>YEAR(E134)</f>
        <v>2023</v>
      </c>
      <c r="E134" s="3">
        <v>44973</v>
      </c>
      <c r="F134" s="4" t="s">
        <v>164</v>
      </c>
      <c r="G134" s="4" t="s">
        <v>8</v>
      </c>
      <c r="H134" s="4">
        <v>20</v>
      </c>
      <c r="I134" s="4" t="str" cm="1">
        <f t="array" ref="I134">_xlfn.IFS(H134&lt;30, "Young Adult", H134&lt;50, "Adult", H134&gt;=50, "Senior")</f>
        <v>Young Adult</v>
      </c>
      <c r="J134" s="4" t="s">
        <v>4</v>
      </c>
      <c r="K134" s="4">
        <v>3</v>
      </c>
      <c r="L134" s="16">
        <v>300</v>
      </c>
      <c r="M134" s="16">
        <f xml:space="preserve"> K134 * L134</f>
        <v>900</v>
      </c>
      <c r="N134" s="16">
        <f>M134 * $Q$3</f>
        <v>13.5</v>
      </c>
      <c r="O134" s="16">
        <f>M134 * $Q$4</f>
        <v>18</v>
      </c>
    </row>
    <row r="135" spans="1:15">
      <c r="A135" s="2">
        <v>134</v>
      </c>
      <c r="B135" s="4">
        <f>DAY(E135)</f>
        <v>25</v>
      </c>
      <c r="C135" s="4">
        <f>MONTH(E135)</f>
        <v>1</v>
      </c>
      <c r="D135" s="4">
        <f>YEAR(E135)</f>
        <v>2023</v>
      </c>
      <c r="E135" s="3">
        <v>44951</v>
      </c>
      <c r="F135" s="4" t="s">
        <v>165</v>
      </c>
      <c r="G135" s="4" t="s">
        <v>8</v>
      </c>
      <c r="H135" s="4">
        <v>49</v>
      </c>
      <c r="I135" s="4" t="str" cm="1">
        <f t="array" ref="I135">_xlfn.IFS(H135&lt;30, "Young Adult", H135&lt;50, "Adult", H135&gt;=50, "Senior")</f>
        <v>Adult</v>
      </c>
      <c r="J135" s="4" t="s">
        <v>4</v>
      </c>
      <c r="K135" s="4">
        <v>1</v>
      </c>
      <c r="L135" s="16">
        <v>50</v>
      </c>
      <c r="M135" s="16">
        <f xml:space="preserve"> K135 * L135</f>
        <v>50</v>
      </c>
      <c r="N135" s="16">
        <f>M135 * $Q$3</f>
        <v>0.75</v>
      </c>
      <c r="O135" s="16">
        <f>M135 * $Q$4</f>
        <v>1</v>
      </c>
    </row>
    <row r="136" spans="1:15">
      <c r="A136" s="2">
        <v>135</v>
      </c>
      <c r="B136" s="4">
        <f>DAY(E136)</f>
        <v>26</v>
      </c>
      <c r="C136" s="4">
        <f>MONTH(E136)</f>
        <v>2</v>
      </c>
      <c r="D136" s="4">
        <f>YEAR(E136)</f>
        <v>2023</v>
      </c>
      <c r="E136" s="3">
        <v>44983</v>
      </c>
      <c r="F136" s="4" t="s">
        <v>166</v>
      </c>
      <c r="G136" s="4" t="s">
        <v>8</v>
      </c>
      <c r="H136" s="4">
        <v>20</v>
      </c>
      <c r="I136" s="4" t="str" cm="1">
        <f t="array" ref="I136">_xlfn.IFS(H136&lt;30, "Young Adult", H136&lt;50, "Adult", H136&gt;=50, "Senior")</f>
        <v>Young Adult</v>
      </c>
      <c r="J136" s="4" t="s">
        <v>3</v>
      </c>
      <c r="K136" s="4">
        <v>2</v>
      </c>
      <c r="L136" s="16">
        <v>25</v>
      </c>
      <c r="M136" s="16">
        <f xml:space="preserve"> K136 * L136</f>
        <v>50</v>
      </c>
      <c r="N136" s="16">
        <f>M136 * $Q$3</f>
        <v>0.75</v>
      </c>
      <c r="O136" s="16">
        <f>M136 * $Q$4</f>
        <v>1</v>
      </c>
    </row>
    <row r="137" spans="1:15">
      <c r="A137" s="2">
        <v>136</v>
      </c>
      <c r="B137" s="4">
        <f>DAY(E137)</f>
        <v>20</v>
      </c>
      <c r="C137" s="4">
        <f>MONTH(E137)</f>
        <v>3</v>
      </c>
      <c r="D137" s="4">
        <f>YEAR(E137)</f>
        <v>2023</v>
      </c>
      <c r="E137" s="3">
        <v>45005</v>
      </c>
      <c r="F137" s="4" t="s">
        <v>167</v>
      </c>
      <c r="G137" s="4" t="s">
        <v>8</v>
      </c>
      <c r="H137" s="4">
        <v>44</v>
      </c>
      <c r="I137" s="4" t="str" cm="1">
        <f t="array" ref="I137">_xlfn.IFS(H137&lt;30, "Young Adult", H137&lt;50, "Adult", H137&gt;=50, "Senior")</f>
        <v>Adult</v>
      </c>
      <c r="J137" s="4" t="s">
        <v>4</v>
      </c>
      <c r="K137" s="4">
        <v>2</v>
      </c>
      <c r="L137" s="16">
        <v>300</v>
      </c>
      <c r="M137" s="16">
        <f xml:space="preserve"> K137 * L137</f>
        <v>600</v>
      </c>
      <c r="N137" s="16">
        <f>M137 * $Q$3</f>
        <v>9</v>
      </c>
      <c r="O137" s="16">
        <f>M137 * $Q$4</f>
        <v>12</v>
      </c>
    </row>
    <row r="138" spans="1:15">
      <c r="A138" s="2">
        <v>137</v>
      </c>
      <c r="B138" s="4">
        <f>DAY(E138)</f>
        <v>18</v>
      </c>
      <c r="C138" s="4">
        <f>MONTH(E138)</f>
        <v>11</v>
      </c>
      <c r="D138" s="4">
        <f>YEAR(E138)</f>
        <v>2023</v>
      </c>
      <c r="E138" s="3">
        <v>45248</v>
      </c>
      <c r="F138" s="4" t="s">
        <v>168</v>
      </c>
      <c r="G138" s="4" t="s">
        <v>8</v>
      </c>
      <c r="H138" s="4">
        <v>46</v>
      </c>
      <c r="I138" s="4" t="str" cm="1">
        <f t="array" ref="I138">_xlfn.IFS(H138&lt;30, "Young Adult", H138&lt;50, "Adult", H138&gt;=50, "Senior")</f>
        <v>Adult</v>
      </c>
      <c r="J138" s="4" t="s">
        <v>2</v>
      </c>
      <c r="K138" s="4">
        <v>2</v>
      </c>
      <c r="L138" s="16">
        <v>500</v>
      </c>
      <c r="M138" s="16">
        <f xml:space="preserve"> K138 * L138</f>
        <v>1000</v>
      </c>
      <c r="N138" s="16">
        <f>M138 * $Q$3</f>
        <v>15</v>
      </c>
      <c r="O138" s="16">
        <f>M138 * $Q$4</f>
        <v>20</v>
      </c>
    </row>
    <row r="139" spans="1:15">
      <c r="A139" s="2">
        <v>138</v>
      </c>
      <c r="B139" s="4">
        <f>DAY(E139)</f>
        <v>23</v>
      </c>
      <c r="C139" s="4">
        <f>MONTH(E139)</f>
        <v>3</v>
      </c>
      <c r="D139" s="4">
        <f>YEAR(E139)</f>
        <v>2023</v>
      </c>
      <c r="E139" s="3">
        <v>45008</v>
      </c>
      <c r="F139" s="4" t="s">
        <v>169</v>
      </c>
      <c r="G139" s="4" t="s">
        <v>8</v>
      </c>
      <c r="H139" s="4">
        <v>49</v>
      </c>
      <c r="I139" s="4" t="str" cm="1">
        <f t="array" ref="I139">_xlfn.IFS(H139&lt;30, "Young Adult", H139&lt;50, "Adult", H139&gt;=50, "Senior")</f>
        <v>Adult</v>
      </c>
      <c r="J139" s="4" t="s">
        <v>3</v>
      </c>
      <c r="K139" s="4">
        <v>4</v>
      </c>
      <c r="L139" s="16">
        <v>50</v>
      </c>
      <c r="M139" s="16">
        <f xml:space="preserve"> K139 * L139</f>
        <v>200</v>
      </c>
      <c r="N139" s="16">
        <f>M139 * $Q$3</f>
        <v>3</v>
      </c>
      <c r="O139" s="16">
        <f>M139 * $Q$4</f>
        <v>4</v>
      </c>
    </row>
    <row r="140" spans="1:15">
      <c r="A140" s="2">
        <v>139</v>
      </c>
      <c r="B140" s="4">
        <f>DAY(E140)</f>
        <v>15</v>
      </c>
      <c r="C140" s="4">
        <f>MONTH(E140)</f>
        <v>12</v>
      </c>
      <c r="D140" s="4">
        <f>YEAR(E140)</f>
        <v>2023</v>
      </c>
      <c r="E140" s="3">
        <v>45275</v>
      </c>
      <c r="F140" s="4" t="s">
        <v>170</v>
      </c>
      <c r="G140" s="4" t="s">
        <v>8</v>
      </c>
      <c r="H140" s="4">
        <v>36</v>
      </c>
      <c r="I140" s="4" t="str" cm="1">
        <f t="array" ref="I140">_xlfn.IFS(H140&lt;30, "Young Adult", H140&lt;50, "Adult", H140&gt;=50, "Senior")</f>
        <v>Adult</v>
      </c>
      <c r="J140" s="4" t="s">
        <v>2</v>
      </c>
      <c r="K140" s="4">
        <v>4</v>
      </c>
      <c r="L140" s="16">
        <v>500</v>
      </c>
      <c r="M140" s="16">
        <f xml:space="preserve"> K140 * L140</f>
        <v>2000</v>
      </c>
      <c r="N140" s="16">
        <f>M140 * $Q$3</f>
        <v>30</v>
      </c>
      <c r="O140" s="16">
        <f>M140 * $Q$4</f>
        <v>40</v>
      </c>
    </row>
    <row r="141" spans="1:15">
      <c r="A141" s="2">
        <v>140</v>
      </c>
      <c r="B141" s="4">
        <f>DAY(E141)</f>
        <v>5</v>
      </c>
      <c r="C141" s="4">
        <f>MONTH(E141)</f>
        <v>8</v>
      </c>
      <c r="D141" s="4">
        <f>YEAR(E141)</f>
        <v>2023</v>
      </c>
      <c r="E141" s="3">
        <v>45143</v>
      </c>
      <c r="F141" s="4" t="s">
        <v>171</v>
      </c>
      <c r="G141" s="4" t="s">
        <v>8</v>
      </c>
      <c r="H141" s="4">
        <v>38</v>
      </c>
      <c r="I141" s="4" t="str" cm="1">
        <f t="array" ref="I141">_xlfn.IFS(H141&lt;30, "Young Adult", H141&lt;50, "Adult", H141&gt;=50, "Senior")</f>
        <v>Adult</v>
      </c>
      <c r="J141" s="4" t="s">
        <v>4</v>
      </c>
      <c r="K141" s="4">
        <v>1</v>
      </c>
      <c r="L141" s="16">
        <v>30</v>
      </c>
      <c r="M141" s="16">
        <f xml:space="preserve"> K141 * L141</f>
        <v>30</v>
      </c>
      <c r="N141" s="16">
        <f>M141 * $Q$3</f>
        <v>0.44999999999999996</v>
      </c>
      <c r="O141" s="16">
        <f>M141 * $Q$4</f>
        <v>0.6</v>
      </c>
    </row>
    <row r="142" spans="1:15">
      <c r="A142" s="2">
        <v>141</v>
      </c>
      <c r="B142" s="4">
        <f>DAY(E142)</f>
        <v>2</v>
      </c>
      <c r="C142" s="4">
        <f>MONTH(E142)</f>
        <v>11</v>
      </c>
      <c r="D142" s="4">
        <f>YEAR(E142)</f>
        <v>2023</v>
      </c>
      <c r="E142" s="3">
        <v>45232</v>
      </c>
      <c r="F142" s="4" t="s">
        <v>172</v>
      </c>
      <c r="G142" s="4" t="s">
        <v>7</v>
      </c>
      <c r="H142" s="4">
        <v>22</v>
      </c>
      <c r="I142" s="4" t="str" cm="1">
        <f t="array" ref="I142">_xlfn.IFS(H142&lt;30, "Young Adult", H142&lt;50, "Adult", H142&gt;=50, "Senior")</f>
        <v>Young Adult</v>
      </c>
      <c r="J142" s="4" t="s">
        <v>4</v>
      </c>
      <c r="K142" s="4">
        <v>1</v>
      </c>
      <c r="L142" s="16">
        <v>50</v>
      </c>
      <c r="M142" s="16">
        <f xml:space="preserve"> K142 * L142</f>
        <v>50</v>
      </c>
      <c r="N142" s="16">
        <f>M142 * $Q$3</f>
        <v>0.75</v>
      </c>
      <c r="O142" s="16">
        <f>M142 * $Q$4</f>
        <v>1</v>
      </c>
    </row>
    <row r="143" spans="1:15">
      <c r="A143" s="2">
        <v>142</v>
      </c>
      <c r="B143" s="4">
        <f>DAY(E143)</f>
        <v>2</v>
      </c>
      <c r="C143" s="4">
        <f>MONTH(E143)</f>
        <v>2</v>
      </c>
      <c r="D143" s="4">
        <f>YEAR(E143)</f>
        <v>2023</v>
      </c>
      <c r="E143" s="3">
        <v>44959</v>
      </c>
      <c r="F143" s="4" t="s">
        <v>173</v>
      </c>
      <c r="G143" s="4" t="s">
        <v>8</v>
      </c>
      <c r="H143" s="4">
        <v>35</v>
      </c>
      <c r="I143" s="4" t="str" cm="1">
        <f t="array" ref="I143">_xlfn.IFS(H143&lt;30, "Young Adult", H143&lt;50, "Adult", H143&gt;=50, "Senior")</f>
        <v>Adult</v>
      </c>
      <c r="J143" s="4" t="s">
        <v>4</v>
      </c>
      <c r="K143" s="4">
        <v>4</v>
      </c>
      <c r="L143" s="16">
        <v>300</v>
      </c>
      <c r="M143" s="16">
        <f xml:space="preserve"> K143 * L143</f>
        <v>1200</v>
      </c>
      <c r="N143" s="16">
        <f>M143 * $Q$3</f>
        <v>18</v>
      </c>
      <c r="O143" s="16">
        <f>M143 * $Q$4</f>
        <v>24</v>
      </c>
    </row>
    <row r="144" spans="1:15">
      <c r="A144" s="2">
        <v>143</v>
      </c>
      <c r="B144" s="4">
        <f>DAY(E144)</f>
        <v>17</v>
      </c>
      <c r="C144" s="4">
        <f>MONTH(E144)</f>
        <v>7</v>
      </c>
      <c r="D144" s="4">
        <f>YEAR(E144)</f>
        <v>2023</v>
      </c>
      <c r="E144" s="3">
        <v>45124</v>
      </c>
      <c r="F144" s="4" t="s">
        <v>174</v>
      </c>
      <c r="G144" s="4" t="s">
        <v>7</v>
      </c>
      <c r="H144" s="4">
        <v>45</v>
      </c>
      <c r="I144" s="4" t="str" cm="1">
        <f t="array" ref="I144">_xlfn.IFS(H144&lt;30, "Young Adult", H144&lt;50, "Adult", H144&gt;=50, "Senior")</f>
        <v>Adult</v>
      </c>
      <c r="J144" s="4" t="s">
        <v>3</v>
      </c>
      <c r="K144" s="4">
        <v>1</v>
      </c>
      <c r="L144" s="16">
        <v>50</v>
      </c>
      <c r="M144" s="16">
        <f xml:space="preserve"> K144 * L144</f>
        <v>50</v>
      </c>
      <c r="N144" s="16">
        <f>M144 * $Q$3</f>
        <v>0.75</v>
      </c>
      <c r="O144" s="16">
        <f>M144 * $Q$4</f>
        <v>1</v>
      </c>
    </row>
    <row r="145" spans="1:15">
      <c r="A145" s="2">
        <v>144</v>
      </c>
      <c r="B145" s="4">
        <f>DAY(E145)</f>
        <v>15</v>
      </c>
      <c r="C145" s="4">
        <f>MONTH(E145)</f>
        <v>7</v>
      </c>
      <c r="D145" s="4">
        <f>YEAR(E145)</f>
        <v>2023</v>
      </c>
      <c r="E145" s="3">
        <v>45122</v>
      </c>
      <c r="F145" s="4" t="s">
        <v>175</v>
      </c>
      <c r="G145" s="4" t="s">
        <v>7</v>
      </c>
      <c r="H145" s="4">
        <v>59</v>
      </c>
      <c r="I145" s="4" t="str" cm="1">
        <f t="array" ref="I145">_xlfn.IFS(H145&lt;30, "Young Adult", H145&lt;50, "Adult", H145&gt;=50, "Senior")</f>
        <v>Senior</v>
      </c>
      <c r="J145" s="4" t="s">
        <v>2</v>
      </c>
      <c r="K145" s="4">
        <v>3</v>
      </c>
      <c r="L145" s="16">
        <v>500</v>
      </c>
      <c r="M145" s="16">
        <f xml:space="preserve"> K145 * L145</f>
        <v>1500</v>
      </c>
      <c r="N145" s="16">
        <f>M145 * $Q$3</f>
        <v>22.5</v>
      </c>
      <c r="O145" s="16">
        <f>M145 * $Q$4</f>
        <v>30</v>
      </c>
    </row>
    <row r="146" spans="1:15">
      <c r="A146" s="2">
        <v>145</v>
      </c>
      <c r="B146" s="4">
        <f>DAY(E146)</f>
        <v>2</v>
      </c>
      <c r="C146" s="4">
        <f>MONTH(E146)</f>
        <v>11</v>
      </c>
      <c r="D146" s="4">
        <f>YEAR(E146)</f>
        <v>2023</v>
      </c>
      <c r="E146" s="3">
        <v>45232</v>
      </c>
      <c r="F146" s="4" t="s">
        <v>176</v>
      </c>
      <c r="G146" s="4" t="s">
        <v>7</v>
      </c>
      <c r="H146" s="4">
        <v>39</v>
      </c>
      <c r="I146" s="4" t="str" cm="1">
        <f t="array" ref="I146">_xlfn.IFS(H146&lt;30, "Young Adult", H146&lt;50, "Adult", H146&gt;=50, "Senior")</f>
        <v>Adult</v>
      </c>
      <c r="J146" s="4" t="s">
        <v>3</v>
      </c>
      <c r="K146" s="4">
        <v>3</v>
      </c>
      <c r="L146" s="16">
        <v>25</v>
      </c>
      <c r="M146" s="16">
        <f xml:space="preserve"> K146 * L146</f>
        <v>75</v>
      </c>
      <c r="N146" s="16">
        <f>M146 * $Q$3</f>
        <v>1.125</v>
      </c>
      <c r="O146" s="16">
        <f>M146 * $Q$4</f>
        <v>1.5</v>
      </c>
    </row>
    <row r="147" spans="1:15">
      <c r="A147" s="2">
        <v>146</v>
      </c>
      <c r="B147" s="4">
        <f>DAY(E147)</f>
        <v>28</v>
      </c>
      <c r="C147" s="4">
        <f>MONTH(E147)</f>
        <v>8</v>
      </c>
      <c r="D147" s="4">
        <f>YEAR(E147)</f>
        <v>2023</v>
      </c>
      <c r="E147" s="3">
        <v>45166</v>
      </c>
      <c r="F147" s="4" t="s">
        <v>177</v>
      </c>
      <c r="G147" s="4" t="s">
        <v>8</v>
      </c>
      <c r="H147" s="4">
        <v>38</v>
      </c>
      <c r="I147" s="4" t="str" cm="1">
        <f t="array" ref="I147">_xlfn.IFS(H147&lt;30, "Young Adult", H147&lt;50, "Adult", H147&gt;=50, "Senior")</f>
        <v>Adult</v>
      </c>
      <c r="J147" s="4" t="s">
        <v>3</v>
      </c>
      <c r="K147" s="4">
        <v>4</v>
      </c>
      <c r="L147" s="16">
        <v>50</v>
      </c>
      <c r="M147" s="16">
        <f xml:space="preserve"> K147 * L147</f>
        <v>200</v>
      </c>
      <c r="N147" s="16">
        <f>M147 * $Q$3</f>
        <v>3</v>
      </c>
      <c r="O147" s="16">
        <f>M147 * $Q$4</f>
        <v>4</v>
      </c>
    </row>
    <row r="148" spans="1:15">
      <c r="A148" s="2">
        <v>147</v>
      </c>
      <c r="B148" s="4">
        <f>DAY(E148)</f>
        <v>28</v>
      </c>
      <c r="C148" s="4">
        <f>MONTH(E148)</f>
        <v>9</v>
      </c>
      <c r="D148" s="4">
        <f>YEAR(E148)</f>
        <v>2023</v>
      </c>
      <c r="E148" s="3">
        <v>45197</v>
      </c>
      <c r="F148" s="4" t="s">
        <v>178</v>
      </c>
      <c r="G148" s="4" t="s">
        <v>8</v>
      </c>
      <c r="H148" s="4">
        <v>23</v>
      </c>
      <c r="I148" s="4" t="str" cm="1">
        <f t="array" ref="I148">_xlfn.IFS(H148&lt;30, "Young Adult", H148&lt;50, "Adult", H148&gt;=50, "Senior")</f>
        <v>Young Adult</v>
      </c>
      <c r="J148" s="4" t="s">
        <v>4</v>
      </c>
      <c r="K148" s="4">
        <v>1</v>
      </c>
      <c r="L148" s="16">
        <v>300</v>
      </c>
      <c r="M148" s="16">
        <f xml:space="preserve"> K148 * L148</f>
        <v>300</v>
      </c>
      <c r="N148" s="16">
        <f>M148 * $Q$3</f>
        <v>4.5</v>
      </c>
      <c r="O148" s="16">
        <f>M148 * $Q$4</f>
        <v>6</v>
      </c>
    </row>
    <row r="149" spans="1:15">
      <c r="A149" s="2">
        <v>148</v>
      </c>
      <c r="B149" s="4">
        <f>DAY(E149)</f>
        <v>9</v>
      </c>
      <c r="C149" s="4">
        <f>MONTH(E149)</f>
        <v>5</v>
      </c>
      <c r="D149" s="4">
        <f>YEAR(E149)</f>
        <v>2023</v>
      </c>
      <c r="E149" s="3">
        <v>45055</v>
      </c>
      <c r="F149" s="4" t="s">
        <v>179</v>
      </c>
      <c r="G149" s="4" t="s">
        <v>8</v>
      </c>
      <c r="H149" s="4">
        <v>18</v>
      </c>
      <c r="I149" s="4" t="str" cm="1">
        <f t="array" ref="I149">_xlfn.IFS(H149&lt;30, "Young Adult", H149&lt;50, "Adult", H149&gt;=50, "Senior")</f>
        <v>Young Adult</v>
      </c>
      <c r="J149" s="4" t="s">
        <v>3</v>
      </c>
      <c r="K149" s="4">
        <v>2</v>
      </c>
      <c r="L149" s="16">
        <v>30</v>
      </c>
      <c r="M149" s="16">
        <f xml:space="preserve"> K149 * L149</f>
        <v>60</v>
      </c>
      <c r="N149" s="16">
        <f>M149 * $Q$3</f>
        <v>0.89999999999999991</v>
      </c>
      <c r="O149" s="16">
        <f>M149 * $Q$4</f>
        <v>1.2</v>
      </c>
    </row>
    <row r="150" spans="1:15">
      <c r="A150" s="2">
        <v>149</v>
      </c>
      <c r="B150" s="4">
        <f>DAY(E150)</f>
        <v>11</v>
      </c>
      <c r="C150" s="4">
        <f>MONTH(E150)</f>
        <v>10</v>
      </c>
      <c r="D150" s="4">
        <f>YEAR(E150)</f>
        <v>2023</v>
      </c>
      <c r="E150" s="3">
        <v>45210</v>
      </c>
      <c r="F150" s="4" t="s">
        <v>180</v>
      </c>
      <c r="G150" s="4" t="s">
        <v>8</v>
      </c>
      <c r="H150" s="4">
        <v>22</v>
      </c>
      <c r="I150" s="4" t="str" cm="1">
        <f t="array" ref="I150">_xlfn.IFS(H150&lt;30, "Young Adult", H150&lt;50, "Adult", H150&gt;=50, "Senior")</f>
        <v>Young Adult</v>
      </c>
      <c r="J150" s="4" t="s">
        <v>3</v>
      </c>
      <c r="K150" s="4">
        <v>3</v>
      </c>
      <c r="L150" s="16">
        <v>25</v>
      </c>
      <c r="M150" s="16">
        <f xml:space="preserve"> K150 * L150</f>
        <v>75</v>
      </c>
      <c r="N150" s="16">
        <f>M150 * $Q$3</f>
        <v>1.125</v>
      </c>
      <c r="O150" s="16">
        <f>M150 * $Q$4</f>
        <v>1.5</v>
      </c>
    </row>
    <row r="151" spans="1:15">
      <c r="A151" s="2">
        <v>150</v>
      </c>
      <c r="B151" s="4">
        <f>DAY(E151)</f>
        <v>6</v>
      </c>
      <c r="C151" s="4">
        <f>MONTH(E151)</f>
        <v>1</v>
      </c>
      <c r="D151" s="4">
        <f>YEAR(E151)</f>
        <v>2023</v>
      </c>
      <c r="E151" s="3">
        <v>44932</v>
      </c>
      <c r="F151" s="4" t="s">
        <v>181</v>
      </c>
      <c r="G151" s="4" t="s">
        <v>7</v>
      </c>
      <c r="H151" s="4">
        <v>58</v>
      </c>
      <c r="I151" s="4" t="str" cm="1">
        <f t="array" ref="I151">_xlfn.IFS(H151&lt;30, "Young Adult", H151&lt;50, "Adult", H151&gt;=50, "Senior")</f>
        <v>Senior</v>
      </c>
      <c r="J151" s="4" t="s">
        <v>4</v>
      </c>
      <c r="K151" s="4">
        <v>4</v>
      </c>
      <c r="L151" s="16">
        <v>30</v>
      </c>
      <c r="M151" s="16">
        <f xml:space="preserve"> K151 * L151</f>
        <v>120</v>
      </c>
      <c r="N151" s="16">
        <f>M151 * $Q$3</f>
        <v>1.7999999999999998</v>
      </c>
      <c r="O151" s="16">
        <f>M151 * $Q$4</f>
        <v>2.4</v>
      </c>
    </row>
    <row r="152" spans="1:15">
      <c r="A152" s="2">
        <v>151</v>
      </c>
      <c r="B152" s="4">
        <f>DAY(E152)</f>
        <v>15</v>
      </c>
      <c r="C152" s="4">
        <f>MONTH(E152)</f>
        <v>12</v>
      </c>
      <c r="D152" s="4">
        <f>YEAR(E152)</f>
        <v>2023</v>
      </c>
      <c r="E152" s="3">
        <v>45275</v>
      </c>
      <c r="F152" s="4" t="s">
        <v>182</v>
      </c>
      <c r="G152" s="4" t="s">
        <v>8</v>
      </c>
      <c r="H152" s="4">
        <v>29</v>
      </c>
      <c r="I152" s="4" t="str" cm="1">
        <f t="array" ref="I152">_xlfn.IFS(H152&lt;30, "Young Adult", H152&lt;50, "Adult", H152&gt;=50, "Senior")</f>
        <v>Young Adult</v>
      </c>
      <c r="J152" s="4" t="s">
        <v>3</v>
      </c>
      <c r="K152" s="4">
        <v>1</v>
      </c>
      <c r="L152" s="16">
        <v>50</v>
      </c>
      <c r="M152" s="16">
        <f xml:space="preserve"> K152 * L152</f>
        <v>50</v>
      </c>
      <c r="N152" s="16">
        <f>M152 * $Q$3</f>
        <v>0.75</v>
      </c>
      <c r="O152" s="16">
        <f>M152 * $Q$4</f>
        <v>1</v>
      </c>
    </row>
    <row r="153" spans="1:15">
      <c r="A153" s="2">
        <v>152</v>
      </c>
      <c r="B153" s="4">
        <f>DAY(E153)</f>
        <v>28</v>
      </c>
      <c r="C153" s="4">
        <f>MONTH(E153)</f>
        <v>2</v>
      </c>
      <c r="D153" s="4">
        <f>YEAR(E153)</f>
        <v>2023</v>
      </c>
      <c r="E153" s="3">
        <v>44985</v>
      </c>
      <c r="F153" s="4" t="s">
        <v>183</v>
      </c>
      <c r="G153" s="4" t="s">
        <v>8</v>
      </c>
      <c r="H153" s="4">
        <v>43</v>
      </c>
      <c r="I153" s="4" t="str" cm="1">
        <f t="array" ref="I153">_xlfn.IFS(H153&lt;30, "Young Adult", H153&lt;50, "Adult", H153&gt;=50, "Senior")</f>
        <v>Adult</v>
      </c>
      <c r="J153" s="4" t="s">
        <v>4</v>
      </c>
      <c r="K153" s="4">
        <v>4</v>
      </c>
      <c r="L153" s="16">
        <v>500</v>
      </c>
      <c r="M153" s="16">
        <f xml:space="preserve"> K153 * L153</f>
        <v>2000</v>
      </c>
      <c r="N153" s="16">
        <f>M153 * $Q$3</f>
        <v>30</v>
      </c>
      <c r="O153" s="16">
        <f>M153 * $Q$4</f>
        <v>40</v>
      </c>
    </row>
    <row r="154" spans="1:15">
      <c r="A154" s="2">
        <v>153</v>
      </c>
      <c r="B154" s="4">
        <f>DAY(E154)</f>
        <v>16</v>
      </c>
      <c r="C154" s="4">
        <f>MONTH(E154)</f>
        <v>12</v>
      </c>
      <c r="D154" s="4">
        <f>YEAR(E154)</f>
        <v>2023</v>
      </c>
      <c r="E154" s="3">
        <v>45276</v>
      </c>
      <c r="F154" s="4" t="s">
        <v>184</v>
      </c>
      <c r="G154" s="4" t="s">
        <v>8</v>
      </c>
      <c r="H154" s="4">
        <v>63</v>
      </c>
      <c r="I154" s="4" t="str" cm="1">
        <f t="array" ref="I154">_xlfn.IFS(H154&lt;30, "Young Adult", H154&lt;50, "Adult", H154&gt;=50, "Senior")</f>
        <v>Senior</v>
      </c>
      <c r="J154" s="4" t="s">
        <v>4</v>
      </c>
      <c r="K154" s="4">
        <v>2</v>
      </c>
      <c r="L154" s="16">
        <v>500</v>
      </c>
      <c r="M154" s="16">
        <f xml:space="preserve"> K154 * L154</f>
        <v>1000</v>
      </c>
      <c r="N154" s="16">
        <f>M154 * $Q$3</f>
        <v>15</v>
      </c>
      <c r="O154" s="16">
        <f>M154 * $Q$4</f>
        <v>20</v>
      </c>
    </row>
    <row r="155" spans="1:15">
      <c r="A155" s="2">
        <v>154</v>
      </c>
      <c r="B155" s="4">
        <f>DAY(E155)</f>
        <v>2</v>
      </c>
      <c r="C155" s="4">
        <f>MONTH(E155)</f>
        <v>10</v>
      </c>
      <c r="D155" s="4">
        <f>YEAR(E155)</f>
        <v>2023</v>
      </c>
      <c r="E155" s="3">
        <v>45201</v>
      </c>
      <c r="F155" s="4" t="s">
        <v>185</v>
      </c>
      <c r="G155" s="4" t="s">
        <v>8</v>
      </c>
      <c r="H155" s="4">
        <v>51</v>
      </c>
      <c r="I155" s="4" t="str" cm="1">
        <f t="array" ref="I155">_xlfn.IFS(H155&lt;30, "Young Adult", H155&lt;50, "Adult", H155&gt;=50, "Senior")</f>
        <v>Senior</v>
      </c>
      <c r="J155" s="4" t="s">
        <v>4</v>
      </c>
      <c r="K155" s="4">
        <v>3</v>
      </c>
      <c r="L155" s="16">
        <v>300</v>
      </c>
      <c r="M155" s="16">
        <f xml:space="preserve"> K155 * L155</f>
        <v>900</v>
      </c>
      <c r="N155" s="16">
        <f>M155 * $Q$3</f>
        <v>13.5</v>
      </c>
      <c r="O155" s="16">
        <f>M155 * $Q$4</f>
        <v>18</v>
      </c>
    </row>
    <row r="156" spans="1:15">
      <c r="A156" s="2">
        <v>155</v>
      </c>
      <c r="B156" s="4">
        <f>DAY(E156)</f>
        <v>17</v>
      </c>
      <c r="C156" s="4">
        <f>MONTH(E156)</f>
        <v>5</v>
      </c>
      <c r="D156" s="4">
        <f>YEAR(E156)</f>
        <v>2023</v>
      </c>
      <c r="E156" s="3">
        <v>45063</v>
      </c>
      <c r="F156" s="4" t="s">
        <v>186</v>
      </c>
      <c r="G156" s="4" t="s">
        <v>8</v>
      </c>
      <c r="H156" s="4">
        <v>31</v>
      </c>
      <c r="I156" s="4" t="str" cm="1">
        <f t="array" ref="I156">_xlfn.IFS(H156&lt;30, "Young Adult", H156&lt;50, "Adult", H156&gt;=50, "Senior")</f>
        <v>Adult</v>
      </c>
      <c r="J156" s="4" t="s">
        <v>4</v>
      </c>
      <c r="K156" s="4">
        <v>4</v>
      </c>
      <c r="L156" s="16">
        <v>500</v>
      </c>
      <c r="M156" s="16">
        <f xml:space="preserve"> K156 * L156</f>
        <v>2000</v>
      </c>
      <c r="N156" s="16">
        <f>M156 * $Q$3</f>
        <v>30</v>
      </c>
      <c r="O156" s="16">
        <f>M156 * $Q$4</f>
        <v>40</v>
      </c>
    </row>
    <row r="157" spans="1:15">
      <c r="A157" s="2">
        <v>156</v>
      </c>
      <c r="B157" s="4">
        <f>DAY(E157)</f>
        <v>25</v>
      </c>
      <c r="C157" s="4">
        <f>MONTH(E157)</f>
        <v>11</v>
      </c>
      <c r="D157" s="4">
        <f>YEAR(E157)</f>
        <v>2023</v>
      </c>
      <c r="E157" s="3">
        <v>45255</v>
      </c>
      <c r="F157" s="4" t="s">
        <v>187</v>
      </c>
      <c r="G157" s="4" t="s">
        <v>7</v>
      </c>
      <c r="H157" s="4">
        <v>43</v>
      </c>
      <c r="I157" s="4" t="str" cm="1">
        <f t="array" ref="I157">_xlfn.IFS(H157&lt;30, "Young Adult", H157&lt;50, "Adult", H157&gt;=50, "Senior")</f>
        <v>Adult</v>
      </c>
      <c r="J157" s="4" t="s">
        <v>3</v>
      </c>
      <c r="K157" s="4">
        <v>4</v>
      </c>
      <c r="L157" s="16">
        <v>25</v>
      </c>
      <c r="M157" s="16">
        <f xml:space="preserve"> K157 * L157</f>
        <v>100</v>
      </c>
      <c r="N157" s="16">
        <f>M157 * $Q$3</f>
        <v>1.5</v>
      </c>
      <c r="O157" s="16">
        <f>M157 * $Q$4</f>
        <v>2</v>
      </c>
    </row>
    <row r="158" spans="1:15">
      <c r="A158" s="2">
        <v>157</v>
      </c>
      <c r="B158" s="4">
        <f>DAY(E158)</f>
        <v>24</v>
      </c>
      <c r="C158" s="4">
        <f>MONTH(E158)</f>
        <v>6</v>
      </c>
      <c r="D158" s="4">
        <f>YEAR(E158)</f>
        <v>2023</v>
      </c>
      <c r="E158" s="3">
        <v>45101</v>
      </c>
      <c r="F158" s="4" t="s">
        <v>188</v>
      </c>
      <c r="G158" s="4" t="s">
        <v>8</v>
      </c>
      <c r="H158" s="4">
        <v>62</v>
      </c>
      <c r="I158" s="4" t="str" cm="1">
        <f t="array" ref="I158">_xlfn.IFS(H158&lt;30, "Young Adult", H158&lt;50, "Adult", H158&gt;=50, "Senior")</f>
        <v>Senior</v>
      </c>
      <c r="J158" s="4" t="s">
        <v>4</v>
      </c>
      <c r="K158" s="4">
        <v>4</v>
      </c>
      <c r="L158" s="16">
        <v>500</v>
      </c>
      <c r="M158" s="16">
        <f xml:space="preserve"> K158 * L158</f>
        <v>2000</v>
      </c>
      <c r="N158" s="16">
        <f>M158 * $Q$3</f>
        <v>30</v>
      </c>
      <c r="O158" s="16">
        <f>M158 * $Q$4</f>
        <v>40</v>
      </c>
    </row>
    <row r="159" spans="1:15">
      <c r="A159" s="2">
        <v>158</v>
      </c>
      <c r="B159" s="4">
        <f>DAY(E159)</f>
        <v>27</v>
      </c>
      <c r="C159" s="4">
        <f>MONTH(E159)</f>
        <v>2</v>
      </c>
      <c r="D159" s="4">
        <f>YEAR(E159)</f>
        <v>2023</v>
      </c>
      <c r="E159" s="3">
        <v>44984</v>
      </c>
      <c r="F159" s="4" t="s">
        <v>189</v>
      </c>
      <c r="G159" s="4" t="s">
        <v>7</v>
      </c>
      <c r="H159" s="4">
        <v>44</v>
      </c>
      <c r="I159" s="4" t="str" cm="1">
        <f t="array" ref="I159">_xlfn.IFS(H159&lt;30, "Young Adult", H159&lt;50, "Adult", H159&gt;=50, "Senior")</f>
        <v>Adult</v>
      </c>
      <c r="J159" s="4" t="s">
        <v>4</v>
      </c>
      <c r="K159" s="4">
        <v>2</v>
      </c>
      <c r="L159" s="16">
        <v>300</v>
      </c>
      <c r="M159" s="16">
        <f xml:space="preserve"> K159 * L159</f>
        <v>600</v>
      </c>
      <c r="N159" s="16">
        <f>M159 * $Q$3</f>
        <v>9</v>
      </c>
      <c r="O159" s="16">
        <f>M159 * $Q$4</f>
        <v>12</v>
      </c>
    </row>
    <row r="160" spans="1:15">
      <c r="A160" s="2">
        <v>159</v>
      </c>
      <c r="B160" s="4">
        <f>DAY(E160)</f>
        <v>31</v>
      </c>
      <c r="C160" s="4">
        <f>MONTH(E160)</f>
        <v>5</v>
      </c>
      <c r="D160" s="4">
        <f>YEAR(E160)</f>
        <v>2023</v>
      </c>
      <c r="E160" s="3">
        <v>45077</v>
      </c>
      <c r="F160" s="4" t="s">
        <v>190</v>
      </c>
      <c r="G160" s="4" t="s">
        <v>8</v>
      </c>
      <c r="H160" s="4">
        <v>26</v>
      </c>
      <c r="I160" s="4" t="str" cm="1">
        <f t="array" ref="I160">_xlfn.IFS(H160&lt;30, "Young Adult", H160&lt;50, "Adult", H160&gt;=50, "Senior")</f>
        <v>Young Adult</v>
      </c>
      <c r="J160" s="4" t="s">
        <v>3</v>
      </c>
      <c r="K160" s="4">
        <v>4</v>
      </c>
      <c r="L160" s="16">
        <v>50</v>
      </c>
      <c r="M160" s="16">
        <f xml:space="preserve"> K160 * L160</f>
        <v>200</v>
      </c>
      <c r="N160" s="16">
        <f>M160 * $Q$3</f>
        <v>3</v>
      </c>
      <c r="O160" s="16">
        <f>M160 * $Q$4</f>
        <v>4</v>
      </c>
    </row>
    <row r="161" spans="1:15">
      <c r="A161" s="2">
        <v>160</v>
      </c>
      <c r="B161" s="4">
        <f>DAY(E161)</f>
        <v>11</v>
      </c>
      <c r="C161" s="4">
        <f>MONTH(E161)</f>
        <v>8</v>
      </c>
      <c r="D161" s="4">
        <f>YEAR(E161)</f>
        <v>2023</v>
      </c>
      <c r="E161" s="3">
        <v>45149</v>
      </c>
      <c r="F161" s="4" t="s">
        <v>191</v>
      </c>
      <c r="G161" s="4" t="s">
        <v>7</v>
      </c>
      <c r="H161" s="4">
        <v>43</v>
      </c>
      <c r="I161" s="4" t="str" cm="1">
        <f t="array" ref="I161">_xlfn.IFS(H161&lt;30, "Young Adult", H161&lt;50, "Adult", H161&gt;=50, "Senior")</f>
        <v>Adult</v>
      </c>
      <c r="J161" s="4" t="s">
        <v>3</v>
      </c>
      <c r="K161" s="4">
        <v>2</v>
      </c>
      <c r="L161" s="16">
        <v>50</v>
      </c>
      <c r="M161" s="16">
        <f xml:space="preserve"> K161 * L161</f>
        <v>100</v>
      </c>
      <c r="N161" s="16">
        <f>M161 * $Q$3</f>
        <v>1.5</v>
      </c>
      <c r="O161" s="16">
        <f>M161 * $Q$4</f>
        <v>2</v>
      </c>
    </row>
    <row r="162" spans="1:15">
      <c r="A162" s="2">
        <v>161</v>
      </c>
      <c r="B162" s="4">
        <f>DAY(E162)</f>
        <v>22</v>
      </c>
      <c r="C162" s="4">
        <f>MONTH(E162)</f>
        <v>3</v>
      </c>
      <c r="D162" s="4">
        <f>YEAR(E162)</f>
        <v>2023</v>
      </c>
      <c r="E162" s="3">
        <v>45007</v>
      </c>
      <c r="F162" s="4" t="s">
        <v>192</v>
      </c>
      <c r="G162" s="4" t="s">
        <v>8</v>
      </c>
      <c r="H162" s="4">
        <v>64</v>
      </c>
      <c r="I162" s="4" t="str" cm="1">
        <f t="array" ref="I162">_xlfn.IFS(H162&lt;30, "Young Adult", H162&lt;50, "Adult", H162&gt;=50, "Senior")</f>
        <v>Senior</v>
      </c>
      <c r="J162" s="4" t="s">
        <v>2</v>
      </c>
      <c r="K162" s="4">
        <v>2</v>
      </c>
      <c r="L162" s="16">
        <v>500</v>
      </c>
      <c r="M162" s="16">
        <f xml:space="preserve"> K162 * L162</f>
        <v>1000</v>
      </c>
      <c r="N162" s="16">
        <f>M162 * $Q$3</f>
        <v>15</v>
      </c>
      <c r="O162" s="16">
        <f>M162 * $Q$4</f>
        <v>20</v>
      </c>
    </row>
    <row r="163" spans="1:15">
      <c r="A163" s="2">
        <v>162</v>
      </c>
      <c r="B163" s="4">
        <f>DAY(E163)</f>
        <v>21</v>
      </c>
      <c r="C163" s="4">
        <f>MONTH(E163)</f>
        <v>8</v>
      </c>
      <c r="D163" s="4">
        <f>YEAR(E163)</f>
        <v>2023</v>
      </c>
      <c r="E163" s="3">
        <v>45159</v>
      </c>
      <c r="F163" s="4" t="s">
        <v>193</v>
      </c>
      <c r="G163" s="4" t="s">
        <v>8</v>
      </c>
      <c r="H163" s="4">
        <v>39</v>
      </c>
      <c r="I163" s="4" t="str" cm="1">
        <f t="array" ref="I163">_xlfn.IFS(H163&lt;30, "Young Adult", H163&lt;50, "Adult", H163&gt;=50, "Senior")</f>
        <v>Adult</v>
      </c>
      <c r="J163" s="4" t="s">
        <v>3</v>
      </c>
      <c r="K163" s="4">
        <v>2</v>
      </c>
      <c r="L163" s="16">
        <v>30</v>
      </c>
      <c r="M163" s="16">
        <f xml:space="preserve"> K163 * L163</f>
        <v>60</v>
      </c>
      <c r="N163" s="16">
        <f>M163 * $Q$3</f>
        <v>0.89999999999999991</v>
      </c>
      <c r="O163" s="16">
        <f>M163 * $Q$4</f>
        <v>1.2</v>
      </c>
    </row>
    <row r="164" spans="1:15">
      <c r="A164" s="2">
        <v>163</v>
      </c>
      <c r="B164" s="4">
        <f>DAY(E164)</f>
        <v>2</v>
      </c>
      <c r="C164" s="4">
        <f>MONTH(E164)</f>
        <v>1</v>
      </c>
      <c r="D164" s="4">
        <f>YEAR(E164)</f>
        <v>2023</v>
      </c>
      <c r="E164" s="3">
        <v>44928</v>
      </c>
      <c r="F164" s="4" t="s">
        <v>194</v>
      </c>
      <c r="G164" s="4" t="s">
        <v>7</v>
      </c>
      <c r="H164" s="4">
        <v>64</v>
      </c>
      <c r="I164" s="4" t="str" cm="1">
        <f t="array" ref="I164">_xlfn.IFS(H164&lt;30, "Young Adult", H164&lt;50, "Adult", H164&gt;=50, "Senior")</f>
        <v>Senior</v>
      </c>
      <c r="J164" s="4" t="s">
        <v>3</v>
      </c>
      <c r="K164" s="4">
        <v>3</v>
      </c>
      <c r="L164" s="16">
        <v>50</v>
      </c>
      <c r="M164" s="16">
        <f xml:space="preserve"> K164 * L164</f>
        <v>150</v>
      </c>
      <c r="N164" s="16">
        <f>M164 * $Q$3</f>
        <v>2.25</v>
      </c>
      <c r="O164" s="16">
        <f>M164 * $Q$4</f>
        <v>3</v>
      </c>
    </row>
    <row r="165" spans="1:15">
      <c r="A165" s="2">
        <v>164</v>
      </c>
      <c r="B165" s="4">
        <f>DAY(E165)</f>
        <v>15</v>
      </c>
      <c r="C165" s="4">
        <f>MONTH(E165)</f>
        <v>5</v>
      </c>
      <c r="D165" s="4">
        <f>YEAR(E165)</f>
        <v>2023</v>
      </c>
      <c r="E165" s="3">
        <v>45061</v>
      </c>
      <c r="F165" s="4" t="s">
        <v>195</v>
      </c>
      <c r="G165" s="4" t="s">
        <v>7</v>
      </c>
      <c r="H165" s="4">
        <v>47</v>
      </c>
      <c r="I165" s="4" t="str" cm="1">
        <f t="array" ref="I165">_xlfn.IFS(H165&lt;30, "Young Adult", H165&lt;50, "Adult", H165&gt;=50, "Senior")</f>
        <v>Adult</v>
      </c>
      <c r="J165" s="4" t="s">
        <v>2</v>
      </c>
      <c r="K165" s="4">
        <v>3</v>
      </c>
      <c r="L165" s="16">
        <v>500</v>
      </c>
      <c r="M165" s="16">
        <f xml:space="preserve"> K165 * L165</f>
        <v>1500</v>
      </c>
      <c r="N165" s="16">
        <f>M165 * $Q$3</f>
        <v>22.5</v>
      </c>
      <c r="O165" s="16">
        <f>M165 * $Q$4</f>
        <v>30</v>
      </c>
    </row>
    <row r="166" spans="1:15">
      <c r="A166" s="2">
        <v>165</v>
      </c>
      <c r="B166" s="4">
        <f>DAY(E166)</f>
        <v>14</v>
      </c>
      <c r="C166" s="4">
        <f>MONTH(E166)</f>
        <v>9</v>
      </c>
      <c r="D166" s="4">
        <f>YEAR(E166)</f>
        <v>2023</v>
      </c>
      <c r="E166" s="3">
        <v>45183</v>
      </c>
      <c r="F166" s="4" t="s">
        <v>196</v>
      </c>
      <c r="G166" s="4" t="s">
        <v>7</v>
      </c>
      <c r="H166" s="4">
        <v>60</v>
      </c>
      <c r="I166" s="4" t="str" cm="1">
        <f t="array" ref="I166">_xlfn.IFS(H166&lt;30, "Young Adult", H166&lt;50, "Adult", H166&gt;=50, "Senior")</f>
        <v>Senior</v>
      </c>
      <c r="J166" s="4" t="s">
        <v>3</v>
      </c>
      <c r="K166" s="4">
        <v>4</v>
      </c>
      <c r="L166" s="16">
        <v>300</v>
      </c>
      <c r="M166" s="16">
        <f xml:space="preserve"> K166 * L166</f>
        <v>1200</v>
      </c>
      <c r="N166" s="16">
        <f>M166 * $Q$3</f>
        <v>18</v>
      </c>
      <c r="O166" s="16">
        <f>M166 * $Q$4</f>
        <v>24</v>
      </c>
    </row>
    <row r="167" spans="1:15">
      <c r="A167" s="2">
        <v>166</v>
      </c>
      <c r="B167" s="4">
        <f>DAY(E167)</f>
        <v>2</v>
      </c>
      <c r="C167" s="4">
        <f>MONTH(E167)</f>
        <v>4</v>
      </c>
      <c r="D167" s="4">
        <f>YEAR(E167)</f>
        <v>2023</v>
      </c>
      <c r="E167" s="3">
        <v>45018</v>
      </c>
      <c r="F167" s="4" t="s">
        <v>197</v>
      </c>
      <c r="G167" s="4" t="s">
        <v>8</v>
      </c>
      <c r="H167" s="4">
        <v>34</v>
      </c>
      <c r="I167" s="4" t="str" cm="1">
        <f t="array" ref="I167">_xlfn.IFS(H167&lt;30, "Young Adult", H167&lt;50, "Adult", H167&gt;=50, "Senior")</f>
        <v>Adult</v>
      </c>
      <c r="J167" s="4" t="s">
        <v>3</v>
      </c>
      <c r="K167" s="4">
        <v>4</v>
      </c>
      <c r="L167" s="16">
        <v>500</v>
      </c>
      <c r="M167" s="16">
        <f xml:space="preserve"> K167 * L167</f>
        <v>2000</v>
      </c>
      <c r="N167" s="16">
        <f>M167 * $Q$3</f>
        <v>30</v>
      </c>
      <c r="O167" s="16">
        <f>M167 * $Q$4</f>
        <v>40</v>
      </c>
    </row>
    <row r="168" spans="1:15">
      <c r="A168" s="2">
        <v>167</v>
      </c>
      <c r="B168" s="4">
        <f>DAY(E168)</f>
        <v>17</v>
      </c>
      <c r="C168" s="4">
        <f>MONTH(E168)</f>
        <v>9</v>
      </c>
      <c r="D168" s="4">
        <f>YEAR(E168)</f>
        <v>2023</v>
      </c>
      <c r="E168" s="3">
        <v>45186</v>
      </c>
      <c r="F168" s="4" t="s">
        <v>198</v>
      </c>
      <c r="G168" s="4" t="s">
        <v>7</v>
      </c>
      <c r="H168" s="4">
        <v>43</v>
      </c>
      <c r="I168" s="4" t="str" cm="1">
        <f t="array" ref="I168">_xlfn.IFS(H168&lt;30, "Young Adult", H168&lt;50, "Adult", H168&gt;=50, "Senior")</f>
        <v>Adult</v>
      </c>
      <c r="J168" s="4" t="s">
        <v>3</v>
      </c>
      <c r="K168" s="4">
        <v>3</v>
      </c>
      <c r="L168" s="16">
        <v>50</v>
      </c>
      <c r="M168" s="16">
        <f xml:space="preserve"> K168 * L168</f>
        <v>150</v>
      </c>
      <c r="N168" s="16">
        <f>M168 * $Q$3</f>
        <v>2.25</v>
      </c>
      <c r="O168" s="16">
        <f>M168 * $Q$4</f>
        <v>3</v>
      </c>
    </row>
    <row r="169" spans="1:15">
      <c r="A169" s="2">
        <v>168</v>
      </c>
      <c r="B169" s="4">
        <f>DAY(E169)</f>
        <v>24</v>
      </c>
      <c r="C169" s="4">
        <f>MONTH(E169)</f>
        <v>2</v>
      </c>
      <c r="D169" s="4">
        <f>YEAR(E169)</f>
        <v>2023</v>
      </c>
      <c r="E169" s="3">
        <v>44981</v>
      </c>
      <c r="F169" s="4" t="s">
        <v>199</v>
      </c>
      <c r="G169" s="4" t="s">
        <v>8</v>
      </c>
      <c r="H169" s="4">
        <v>53</v>
      </c>
      <c r="I169" s="4" t="str" cm="1">
        <f t="array" ref="I169">_xlfn.IFS(H169&lt;30, "Young Adult", H169&lt;50, "Adult", H169&gt;=50, "Senior")</f>
        <v>Senior</v>
      </c>
      <c r="J169" s="4" t="s">
        <v>3</v>
      </c>
      <c r="K169" s="4">
        <v>1</v>
      </c>
      <c r="L169" s="16">
        <v>300</v>
      </c>
      <c r="M169" s="16">
        <f xml:space="preserve"> K169 * L169</f>
        <v>300</v>
      </c>
      <c r="N169" s="16">
        <f>M169 * $Q$3</f>
        <v>4.5</v>
      </c>
      <c r="O169" s="16">
        <f>M169 * $Q$4</f>
        <v>6</v>
      </c>
    </row>
    <row r="170" spans="1:15">
      <c r="A170" s="2">
        <v>169</v>
      </c>
      <c r="B170" s="4">
        <f>DAY(E170)</f>
        <v>17</v>
      </c>
      <c r="C170" s="4">
        <f>MONTH(E170)</f>
        <v>11</v>
      </c>
      <c r="D170" s="4">
        <f>YEAR(E170)</f>
        <v>2023</v>
      </c>
      <c r="E170" s="3">
        <v>45247</v>
      </c>
      <c r="F170" s="4" t="s">
        <v>200</v>
      </c>
      <c r="G170" s="4" t="s">
        <v>8</v>
      </c>
      <c r="H170" s="4">
        <v>18</v>
      </c>
      <c r="I170" s="4" t="str" cm="1">
        <f t="array" ref="I170">_xlfn.IFS(H170&lt;30, "Young Adult", H170&lt;50, "Adult", H170&gt;=50, "Senior")</f>
        <v>Young Adult</v>
      </c>
      <c r="J170" s="4" t="s">
        <v>2</v>
      </c>
      <c r="K170" s="4">
        <v>3</v>
      </c>
      <c r="L170" s="16">
        <v>500</v>
      </c>
      <c r="M170" s="16">
        <f xml:space="preserve"> K170 * L170</f>
        <v>1500</v>
      </c>
      <c r="N170" s="16">
        <f>M170 * $Q$3</f>
        <v>22.5</v>
      </c>
      <c r="O170" s="16">
        <f>M170 * $Q$4</f>
        <v>30</v>
      </c>
    </row>
    <row r="171" spans="1:15">
      <c r="A171" s="2">
        <v>170</v>
      </c>
      <c r="B171" s="4">
        <f>DAY(E171)</f>
        <v>2</v>
      </c>
      <c r="C171" s="4">
        <f>MONTH(E171)</f>
        <v>6</v>
      </c>
      <c r="D171" s="4">
        <f>YEAR(E171)</f>
        <v>2023</v>
      </c>
      <c r="E171" s="3">
        <v>45079</v>
      </c>
      <c r="F171" s="4" t="s">
        <v>201</v>
      </c>
      <c r="G171" s="4" t="s">
        <v>7</v>
      </c>
      <c r="H171" s="4">
        <v>25</v>
      </c>
      <c r="I171" s="4" t="str" cm="1">
        <f t="array" ref="I171">_xlfn.IFS(H171&lt;30, "Young Adult", H171&lt;50, "Adult", H171&gt;=50, "Senior")</f>
        <v>Young Adult</v>
      </c>
      <c r="J171" s="4" t="s">
        <v>3</v>
      </c>
      <c r="K171" s="4">
        <v>2</v>
      </c>
      <c r="L171" s="16">
        <v>25</v>
      </c>
      <c r="M171" s="16">
        <f xml:space="preserve"> K171 * L171</f>
        <v>50</v>
      </c>
      <c r="N171" s="16">
        <f>M171 * $Q$3</f>
        <v>0.75</v>
      </c>
      <c r="O171" s="16">
        <f>M171 * $Q$4</f>
        <v>1</v>
      </c>
    </row>
    <row r="172" spans="1:15">
      <c r="A172" s="2">
        <v>171</v>
      </c>
      <c r="B172" s="4">
        <f>DAY(E172)</f>
        <v>24</v>
      </c>
      <c r="C172" s="4">
        <f>MONTH(E172)</f>
        <v>11</v>
      </c>
      <c r="D172" s="4">
        <f>YEAR(E172)</f>
        <v>2023</v>
      </c>
      <c r="E172" s="3">
        <v>45254</v>
      </c>
      <c r="F172" s="4" t="s">
        <v>202</v>
      </c>
      <c r="G172" s="4" t="s">
        <v>7</v>
      </c>
      <c r="H172" s="4">
        <v>52</v>
      </c>
      <c r="I172" s="4" t="str" cm="1">
        <f t="array" ref="I172">_xlfn.IFS(H172&lt;30, "Young Adult", H172&lt;50, "Adult", H172&gt;=50, "Senior")</f>
        <v>Senior</v>
      </c>
      <c r="J172" s="4" t="s">
        <v>3</v>
      </c>
      <c r="K172" s="4">
        <v>3</v>
      </c>
      <c r="L172" s="16">
        <v>300</v>
      </c>
      <c r="M172" s="16">
        <f xml:space="preserve"> K172 * L172</f>
        <v>900</v>
      </c>
      <c r="N172" s="16">
        <f>M172 * $Q$3</f>
        <v>13.5</v>
      </c>
      <c r="O172" s="16">
        <f>M172 * $Q$4</f>
        <v>18</v>
      </c>
    </row>
    <row r="173" spans="1:15">
      <c r="A173" s="2">
        <v>172</v>
      </c>
      <c r="B173" s="4">
        <f>DAY(E173)</f>
        <v>17</v>
      </c>
      <c r="C173" s="4">
        <f>MONTH(E173)</f>
        <v>9</v>
      </c>
      <c r="D173" s="4">
        <f>YEAR(E173)</f>
        <v>2023</v>
      </c>
      <c r="E173" s="3">
        <v>45186</v>
      </c>
      <c r="F173" s="4" t="s">
        <v>203</v>
      </c>
      <c r="G173" s="4" t="s">
        <v>8</v>
      </c>
      <c r="H173" s="4">
        <v>32</v>
      </c>
      <c r="I173" s="4" t="str" cm="1">
        <f t="array" ref="I173">_xlfn.IFS(H173&lt;30, "Young Adult", H173&lt;50, "Adult", H173&gt;=50, "Senior")</f>
        <v>Adult</v>
      </c>
      <c r="J173" s="4" t="s">
        <v>2</v>
      </c>
      <c r="K173" s="4">
        <v>2</v>
      </c>
      <c r="L173" s="16">
        <v>25</v>
      </c>
      <c r="M173" s="16">
        <f xml:space="preserve"> K173 * L173</f>
        <v>50</v>
      </c>
      <c r="N173" s="16">
        <f>M173 * $Q$3</f>
        <v>0.75</v>
      </c>
      <c r="O173" s="16">
        <f>M173 * $Q$4</f>
        <v>1</v>
      </c>
    </row>
    <row r="174" spans="1:15">
      <c r="A174" s="2">
        <v>173</v>
      </c>
      <c r="B174" s="4">
        <f>DAY(E174)</f>
        <v>8</v>
      </c>
      <c r="C174" s="4">
        <f>MONTH(E174)</f>
        <v>11</v>
      </c>
      <c r="D174" s="4">
        <f>YEAR(E174)</f>
        <v>2023</v>
      </c>
      <c r="E174" s="3">
        <v>45238</v>
      </c>
      <c r="F174" s="4" t="s">
        <v>204</v>
      </c>
      <c r="G174" s="4" t="s">
        <v>8</v>
      </c>
      <c r="H174" s="4">
        <v>64</v>
      </c>
      <c r="I174" s="4" t="str" cm="1">
        <f t="array" ref="I174">_xlfn.IFS(H174&lt;30, "Young Adult", H174&lt;50, "Adult", H174&gt;=50, "Senior")</f>
        <v>Senior</v>
      </c>
      <c r="J174" s="4" t="s">
        <v>4</v>
      </c>
      <c r="K174" s="4">
        <v>4</v>
      </c>
      <c r="L174" s="16">
        <v>30</v>
      </c>
      <c r="M174" s="16">
        <f xml:space="preserve"> K174 * L174</f>
        <v>120</v>
      </c>
      <c r="N174" s="16">
        <f>M174 * $Q$3</f>
        <v>1.7999999999999998</v>
      </c>
      <c r="O174" s="16">
        <f>M174 * $Q$4</f>
        <v>2.4</v>
      </c>
    </row>
    <row r="175" spans="1:15">
      <c r="A175" s="2">
        <v>174</v>
      </c>
      <c r="B175" s="4">
        <f>DAY(E175)</f>
        <v>12</v>
      </c>
      <c r="C175" s="4">
        <f>MONTH(E175)</f>
        <v>4</v>
      </c>
      <c r="D175" s="4">
        <f>YEAR(E175)</f>
        <v>2023</v>
      </c>
      <c r="E175" s="3">
        <v>45028</v>
      </c>
      <c r="F175" s="4" t="s">
        <v>205</v>
      </c>
      <c r="G175" s="4" t="s">
        <v>7</v>
      </c>
      <c r="H175" s="4">
        <v>39</v>
      </c>
      <c r="I175" s="4" t="str" cm="1">
        <f t="array" ref="I175">_xlfn.IFS(H175&lt;30, "Young Adult", H175&lt;50, "Adult", H175&gt;=50, "Senior")</f>
        <v>Adult</v>
      </c>
      <c r="J175" s="4" t="s">
        <v>2</v>
      </c>
      <c r="K175" s="4">
        <v>1</v>
      </c>
      <c r="L175" s="16">
        <v>300</v>
      </c>
      <c r="M175" s="16">
        <f xml:space="preserve"> K175 * L175</f>
        <v>300</v>
      </c>
      <c r="N175" s="16">
        <f>M175 * $Q$3</f>
        <v>4.5</v>
      </c>
      <c r="O175" s="16">
        <f>M175 * $Q$4</f>
        <v>6</v>
      </c>
    </row>
    <row r="176" spans="1:15">
      <c r="A176" s="2">
        <v>175</v>
      </c>
      <c r="B176" s="4">
        <f>DAY(E176)</f>
        <v>20</v>
      </c>
      <c r="C176" s="4">
        <f>MONTH(E176)</f>
        <v>3</v>
      </c>
      <c r="D176" s="4">
        <f>YEAR(E176)</f>
        <v>2023</v>
      </c>
      <c r="E176" s="3">
        <v>45005</v>
      </c>
      <c r="F176" s="4" t="s">
        <v>206</v>
      </c>
      <c r="G176" s="4" t="s">
        <v>7</v>
      </c>
      <c r="H176" s="4">
        <v>31</v>
      </c>
      <c r="I176" s="4" t="str" cm="1">
        <f t="array" ref="I176">_xlfn.IFS(H176&lt;30, "Young Adult", H176&lt;50, "Adult", H176&gt;=50, "Senior")</f>
        <v>Adult</v>
      </c>
      <c r="J176" s="4" t="s">
        <v>4</v>
      </c>
      <c r="K176" s="4">
        <v>4</v>
      </c>
      <c r="L176" s="16">
        <v>25</v>
      </c>
      <c r="M176" s="16">
        <f xml:space="preserve"> K176 * L176</f>
        <v>100</v>
      </c>
      <c r="N176" s="16">
        <f>M176 * $Q$3</f>
        <v>1.5</v>
      </c>
      <c r="O176" s="16">
        <f>M176 * $Q$4</f>
        <v>2</v>
      </c>
    </row>
    <row r="177" spans="1:15">
      <c r="A177" s="2">
        <v>176</v>
      </c>
      <c r="B177" s="4">
        <f>DAY(E177)</f>
        <v>11</v>
      </c>
      <c r="C177" s="4">
        <f>MONTH(E177)</f>
        <v>7</v>
      </c>
      <c r="D177" s="4">
        <f>YEAR(E177)</f>
        <v>2023</v>
      </c>
      <c r="E177" s="3">
        <v>45118</v>
      </c>
      <c r="F177" s="4" t="s">
        <v>207</v>
      </c>
      <c r="G177" s="4" t="s">
        <v>7</v>
      </c>
      <c r="H177" s="4">
        <v>43</v>
      </c>
      <c r="I177" s="4" t="str" cm="1">
        <f t="array" ref="I177">_xlfn.IFS(H177&lt;30, "Young Adult", H177&lt;50, "Adult", H177&gt;=50, "Senior")</f>
        <v>Adult</v>
      </c>
      <c r="J177" s="4" t="s">
        <v>2</v>
      </c>
      <c r="K177" s="4">
        <v>2</v>
      </c>
      <c r="L177" s="16">
        <v>50</v>
      </c>
      <c r="M177" s="16">
        <f xml:space="preserve"> K177 * L177</f>
        <v>100</v>
      </c>
      <c r="N177" s="16">
        <f>M177 * $Q$3</f>
        <v>1.5</v>
      </c>
      <c r="O177" s="16">
        <f>M177 * $Q$4</f>
        <v>2</v>
      </c>
    </row>
    <row r="178" spans="1:15">
      <c r="A178" s="2">
        <v>177</v>
      </c>
      <c r="B178" s="4">
        <f>DAY(E178)</f>
        <v>24</v>
      </c>
      <c r="C178" s="4">
        <f>MONTH(E178)</f>
        <v>3</v>
      </c>
      <c r="D178" s="4">
        <f>YEAR(E178)</f>
        <v>2023</v>
      </c>
      <c r="E178" s="3">
        <v>45009</v>
      </c>
      <c r="F178" s="4" t="s">
        <v>208</v>
      </c>
      <c r="G178" s="4" t="s">
        <v>8</v>
      </c>
      <c r="H178" s="4">
        <v>45</v>
      </c>
      <c r="I178" s="4" t="str" cm="1">
        <f t="array" ref="I178">_xlfn.IFS(H178&lt;30, "Young Adult", H178&lt;50, "Adult", H178&gt;=50, "Senior")</f>
        <v>Adult</v>
      </c>
      <c r="J178" s="4" t="s">
        <v>2</v>
      </c>
      <c r="K178" s="4">
        <v>2</v>
      </c>
      <c r="L178" s="16">
        <v>50</v>
      </c>
      <c r="M178" s="16">
        <f xml:space="preserve"> K178 * L178</f>
        <v>100</v>
      </c>
      <c r="N178" s="16">
        <f>M178 * $Q$3</f>
        <v>1.5</v>
      </c>
      <c r="O178" s="16">
        <f>M178 * $Q$4</f>
        <v>2</v>
      </c>
    </row>
    <row r="179" spans="1:15">
      <c r="A179" s="2">
        <v>178</v>
      </c>
      <c r="B179" s="4">
        <f>DAY(E179)</f>
        <v>4</v>
      </c>
      <c r="C179" s="4">
        <f>MONTH(E179)</f>
        <v>10</v>
      </c>
      <c r="D179" s="4">
        <f>YEAR(E179)</f>
        <v>2023</v>
      </c>
      <c r="E179" s="3">
        <v>45203</v>
      </c>
      <c r="F179" s="4" t="s">
        <v>209</v>
      </c>
      <c r="G179" s="4" t="s">
        <v>8</v>
      </c>
      <c r="H179" s="4">
        <v>40</v>
      </c>
      <c r="I179" s="4" t="str" cm="1">
        <f t="array" ref="I179">_xlfn.IFS(H179&lt;30, "Young Adult", H179&lt;50, "Adult", H179&gt;=50, "Senior")</f>
        <v>Adult</v>
      </c>
      <c r="J179" s="4" t="s">
        <v>3</v>
      </c>
      <c r="K179" s="4">
        <v>2</v>
      </c>
      <c r="L179" s="16">
        <v>30</v>
      </c>
      <c r="M179" s="16">
        <f xml:space="preserve"> K179 * L179</f>
        <v>60</v>
      </c>
      <c r="N179" s="16">
        <f>M179 * $Q$3</f>
        <v>0.89999999999999991</v>
      </c>
      <c r="O179" s="16">
        <f>M179 * $Q$4</f>
        <v>1.2</v>
      </c>
    </row>
    <row r="180" spans="1:15">
      <c r="A180" s="2">
        <v>179</v>
      </c>
      <c r="B180" s="4">
        <f>DAY(E180)</f>
        <v>29</v>
      </c>
      <c r="C180" s="4">
        <f>MONTH(E180)</f>
        <v>9</v>
      </c>
      <c r="D180" s="4">
        <f>YEAR(E180)</f>
        <v>2023</v>
      </c>
      <c r="E180" s="3">
        <v>45198</v>
      </c>
      <c r="F180" s="4" t="s">
        <v>210</v>
      </c>
      <c r="G180" s="4" t="s">
        <v>8</v>
      </c>
      <c r="H180" s="4">
        <v>31</v>
      </c>
      <c r="I180" s="4" t="str" cm="1">
        <f t="array" ref="I180">_xlfn.IFS(H180&lt;30, "Young Adult", H180&lt;50, "Adult", H180&gt;=50, "Senior")</f>
        <v>Adult</v>
      </c>
      <c r="J180" s="4" t="s">
        <v>4</v>
      </c>
      <c r="K180" s="4">
        <v>1</v>
      </c>
      <c r="L180" s="16">
        <v>300</v>
      </c>
      <c r="M180" s="16">
        <f xml:space="preserve"> K180 * L180</f>
        <v>300</v>
      </c>
      <c r="N180" s="16">
        <f>M180 * $Q$3</f>
        <v>4.5</v>
      </c>
      <c r="O180" s="16">
        <f>M180 * $Q$4</f>
        <v>6</v>
      </c>
    </row>
    <row r="181" spans="1:15">
      <c r="A181" s="2">
        <v>180</v>
      </c>
      <c r="B181" s="4">
        <f>DAY(E181)</f>
        <v>1</v>
      </c>
      <c r="C181" s="4">
        <f>MONTH(E181)</f>
        <v>1</v>
      </c>
      <c r="D181" s="4">
        <f>YEAR(E181)</f>
        <v>2023</v>
      </c>
      <c r="E181" s="3">
        <v>44927</v>
      </c>
      <c r="F181" s="4" t="s">
        <v>211</v>
      </c>
      <c r="G181" s="4" t="s">
        <v>8</v>
      </c>
      <c r="H181" s="4">
        <v>41</v>
      </c>
      <c r="I181" s="4" t="str" cm="1">
        <f t="array" ref="I181">_xlfn.IFS(H181&lt;30, "Young Adult", H181&lt;50, "Adult", H181&gt;=50, "Senior")</f>
        <v>Adult</v>
      </c>
      <c r="J181" s="4" t="s">
        <v>3</v>
      </c>
      <c r="K181" s="4">
        <v>3</v>
      </c>
      <c r="L181" s="16">
        <v>300</v>
      </c>
      <c r="M181" s="16">
        <f xml:space="preserve"> K181 * L181</f>
        <v>900</v>
      </c>
      <c r="N181" s="16">
        <f>M181 * $Q$3</f>
        <v>13.5</v>
      </c>
      <c r="O181" s="16">
        <f>M181 * $Q$4</f>
        <v>18</v>
      </c>
    </row>
    <row r="182" spans="1:15">
      <c r="A182" s="2">
        <v>181</v>
      </c>
      <c r="B182" s="4">
        <f>DAY(E182)</f>
        <v>3</v>
      </c>
      <c r="C182" s="4">
        <f>MONTH(E182)</f>
        <v>11</v>
      </c>
      <c r="D182" s="4">
        <f>YEAR(E182)</f>
        <v>2023</v>
      </c>
      <c r="E182" s="3">
        <v>45233</v>
      </c>
      <c r="F182" s="4" t="s">
        <v>212</v>
      </c>
      <c r="G182" s="4" t="s">
        <v>8</v>
      </c>
      <c r="H182" s="4">
        <v>19</v>
      </c>
      <c r="I182" s="4" t="str" cm="1">
        <f t="array" ref="I182">_xlfn.IFS(H182&lt;30, "Young Adult", H182&lt;50, "Adult", H182&gt;=50, "Senior")</f>
        <v>Young Adult</v>
      </c>
      <c r="J182" s="4" t="s">
        <v>4</v>
      </c>
      <c r="K182" s="4">
        <v>4</v>
      </c>
      <c r="L182" s="16">
        <v>300</v>
      </c>
      <c r="M182" s="16">
        <f xml:space="preserve"> K182 * L182</f>
        <v>1200</v>
      </c>
      <c r="N182" s="16">
        <f>M182 * $Q$3</f>
        <v>18</v>
      </c>
      <c r="O182" s="16">
        <f>M182 * $Q$4</f>
        <v>24</v>
      </c>
    </row>
    <row r="183" spans="1:15">
      <c r="A183" s="2">
        <v>182</v>
      </c>
      <c r="B183" s="4">
        <f>DAY(E183)</f>
        <v>15</v>
      </c>
      <c r="C183" s="4">
        <f>MONTH(E183)</f>
        <v>6</v>
      </c>
      <c r="D183" s="4">
        <f>YEAR(E183)</f>
        <v>2023</v>
      </c>
      <c r="E183" s="3">
        <v>45092</v>
      </c>
      <c r="F183" s="4" t="s">
        <v>213</v>
      </c>
      <c r="G183" s="4" t="s">
        <v>8</v>
      </c>
      <c r="H183" s="4">
        <v>62</v>
      </c>
      <c r="I183" s="4" t="str" cm="1">
        <f t="array" ref="I183">_xlfn.IFS(H183&lt;30, "Young Adult", H183&lt;50, "Adult", H183&gt;=50, "Senior")</f>
        <v>Senior</v>
      </c>
      <c r="J183" s="4" t="s">
        <v>2</v>
      </c>
      <c r="K183" s="4">
        <v>4</v>
      </c>
      <c r="L183" s="16">
        <v>30</v>
      </c>
      <c r="M183" s="16">
        <f xml:space="preserve"> K183 * L183</f>
        <v>120</v>
      </c>
      <c r="N183" s="16">
        <f>M183 * $Q$3</f>
        <v>1.7999999999999998</v>
      </c>
      <c r="O183" s="16">
        <f>M183 * $Q$4</f>
        <v>2.4</v>
      </c>
    </row>
    <row r="184" spans="1:15">
      <c r="A184" s="2">
        <v>183</v>
      </c>
      <c r="B184" s="4">
        <f>DAY(E184)</f>
        <v>8</v>
      </c>
      <c r="C184" s="4">
        <f>MONTH(E184)</f>
        <v>9</v>
      </c>
      <c r="D184" s="4">
        <f>YEAR(E184)</f>
        <v>2023</v>
      </c>
      <c r="E184" s="3">
        <v>45177</v>
      </c>
      <c r="F184" s="4" t="s">
        <v>214</v>
      </c>
      <c r="G184" s="4" t="s">
        <v>7</v>
      </c>
      <c r="H184" s="4">
        <v>43</v>
      </c>
      <c r="I184" s="4" t="str" cm="1">
        <f t="array" ref="I184">_xlfn.IFS(H184&lt;30, "Young Adult", H184&lt;50, "Adult", H184&gt;=50, "Senior")</f>
        <v>Adult</v>
      </c>
      <c r="J184" s="4" t="s">
        <v>2</v>
      </c>
      <c r="K184" s="4">
        <v>3</v>
      </c>
      <c r="L184" s="16">
        <v>300</v>
      </c>
      <c r="M184" s="16">
        <f xml:space="preserve"> K184 * L184</f>
        <v>900</v>
      </c>
      <c r="N184" s="16">
        <f>M184 * $Q$3</f>
        <v>13.5</v>
      </c>
      <c r="O184" s="16">
        <f>M184 * $Q$4</f>
        <v>18</v>
      </c>
    </row>
    <row r="185" spans="1:15">
      <c r="A185" s="2">
        <v>184</v>
      </c>
      <c r="B185" s="4">
        <f>DAY(E185)</f>
        <v>10</v>
      </c>
      <c r="C185" s="4">
        <f>MONTH(E185)</f>
        <v>1</v>
      </c>
      <c r="D185" s="4">
        <f>YEAR(E185)</f>
        <v>2023</v>
      </c>
      <c r="E185" s="3">
        <v>44936</v>
      </c>
      <c r="F185" s="4" t="s">
        <v>215</v>
      </c>
      <c r="G185" s="4" t="s">
        <v>8</v>
      </c>
      <c r="H185" s="4">
        <v>31</v>
      </c>
      <c r="I185" s="4" t="str" cm="1">
        <f t="array" ref="I185">_xlfn.IFS(H185&lt;30, "Young Adult", H185&lt;50, "Adult", H185&gt;=50, "Senior")</f>
        <v>Adult</v>
      </c>
      <c r="J185" s="4" t="s">
        <v>4</v>
      </c>
      <c r="K185" s="4">
        <v>4</v>
      </c>
      <c r="L185" s="16">
        <v>50</v>
      </c>
      <c r="M185" s="16">
        <f xml:space="preserve"> K185 * L185</f>
        <v>200</v>
      </c>
      <c r="N185" s="16">
        <f>M185 * $Q$3</f>
        <v>3</v>
      </c>
      <c r="O185" s="16">
        <f>M185 * $Q$4</f>
        <v>4</v>
      </c>
    </row>
    <row r="186" spans="1:15">
      <c r="A186" s="2">
        <v>185</v>
      </c>
      <c r="B186" s="4">
        <f>DAY(E186)</f>
        <v>27</v>
      </c>
      <c r="C186" s="4">
        <f>MONTH(E186)</f>
        <v>2</v>
      </c>
      <c r="D186" s="4">
        <f>YEAR(E186)</f>
        <v>2023</v>
      </c>
      <c r="E186" s="3">
        <v>44984</v>
      </c>
      <c r="F186" s="4" t="s">
        <v>216</v>
      </c>
      <c r="G186" s="4" t="s">
        <v>8</v>
      </c>
      <c r="H186" s="4">
        <v>24</v>
      </c>
      <c r="I186" s="4" t="str" cm="1">
        <f t="array" ref="I186">_xlfn.IFS(H186&lt;30, "Young Adult", H186&lt;50, "Adult", H186&gt;=50, "Senior")</f>
        <v>Young Adult</v>
      </c>
      <c r="J186" s="4" t="s">
        <v>3</v>
      </c>
      <c r="K186" s="4">
        <v>1</v>
      </c>
      <c r="L186" s="16">
        <v>25</v>
      </c>
      <c r="M186" s="16">
        <f xml:space="preserve"> K186 * L186</f>
        <v>25</v>
      </c>
      <c r="N186" s="16">
        <f>M186 * $Q$3</f>
        <v>0.375</v>
      </c>
      <c r="O186" s="16">
        <f>M186 * $Q$4</f>
        <v>0.5</v>
      </c>
    </row>
    <row r="187" spans="1:15">
      <c r="A187" s="2">
        <v>186</v>
      </c>
      <c r="B187" s="4">
        <f>DAY(E187)</f>
        <v>5</v>
      </c>
      <c r="C187" s="4">
        <f>MONTH(E187)</f>
        <v>7</v>
      </c>
      <c r="D187" s="4">
        <f>YEAR(E187)</f>
        <v>2023</v>
      </c>
      <c r="E187" s="3">
        <v>45112</v>
      </c>
      <c r="F187" s="4" t="s">
        <v>217</v>
      </c>
      <c r="G187" s="4" t="s">
        <v>8</v>
      </c>
      <c r="H187" s="4">
        <v>20</v>
      </c>
      <c r="I187" s="4" t="str" cm="1">
        <f t="array" ref="I187">_xlfn.IFS(H187&lt;30, "Young Adult", H187&lt;50, "Adult", H187&gt;=50, "Senior")</f>
        <v>Young Adult</v>
      </c>
      <c r="J187" s="4" t="s">
        <v>3</v>
      </c>
      <c r="K187" s="4">
        <v>4</v>
      </c>
      <c r="L187" s="16">
        <v>50</v>
      </c>
      <c r="M187" s="16">
        <f xml:space="preserve"> K187 * L187</f>
        <v>200</v>
      </c>
      <c r="N187" s="16">
        <f>M187 * $Q$3</f>
        <v>3</v>
      </c>
      <c r="O187" s="16">
        <f>M187 * $Q$4</f>
        <v>4</v>
      </c>
    </row>
    <row r="188" spans="1:15">
      <c r="A188" s="2">
        <v>187</v>
      </c>
      <c r="B188" s="4">
        <f>DAY(E188)</f>
        <v>7</v>
      </c>
      <c r="C188" s="4">
        <f>MONTH(E188)</f>
        <v>6</v>
      </c>
      <c r="D188" s="4">
        <f>YEAR(E188)</f>
        <v>2023</v>
      </c>
      <c r="E188" s="3">
        <v>45084</v>
      </c>
      <c r="F188" s="4" t="s">
        <v>218</v>
      </c>
      <c r="G188" s="4" t="s">
        <v>7</v>
      </c>
      <c r="H188" s="4">
        <v>64</v>
      </c>
      <c r="I188" s="4" t="str" cm="1">
        <f t="array" ref="I188">_xlfn.IFS(H188&lt;30, "Young Adult", H188&lt;50, "Adult", H188&gt;=50, "Senior")</f>
        <v>Senior</v>
      </c>
      <c r="J188" s="4" t="s">
        <v>3</v>
      </c>
      <c r="K188" s="4">
        <v>2</v>
      </c>
      <c r="L188" s="16">
        <v>50</v>
      </c>
      <c r="M188" s="16">
        <f xml:space="preserve"> K188 * L188</f>
        <v>100</v>
      </c>
      <c r="N188" s="16">
        <f>M188 * $Q$3</f>
        <v>1.5</v>
      </c>
      <c r="O188" s="16">
        <f>M188 * $Q$4</f>
        <v>2</v>
      </c>
    </row>
    <row r="189" spans="1:15">
      <c r="A189" s="2">
        <v>188</v>
      </c>
      <c r="B189" s="4">
        <f>DAY(E189)</f>
        <v>3</v>
      </c>
      <c r="C189" s="4">
        <f>MONTH(E189)</f>
        <v>5</v>
      </c>
      <c r="D189" s="4">
        <f>YEAR(E189)</f>
        <v>2023</v>
      </c>
      <c r="E189" s="3">
        <v>45049</v>
      </c>
      <c r="F189" s="4" t="s">
        <v>219</v>
      </c>
      <c r="G189" s="4" t="s">
        <v>8</v>
      </c>
      <c r="H189" s="4">
        <v>40</v>
      </c>
      <c r="I189" s="4" t="str" cm="1">
        <f t="array" ref="I189">_xlfn.IFS(H189&lt;30, "Young Adult", H189&lt;50, "Adult", H189&gt;=50, "Senior")</f>
        <v>Adult</v>
      </c>
      <c r="J189" s="4" t="s">
        <v>3</v>
      </c>
      <c r="K189" s="4">
        <v>3</v>
      </c>
      <c r="L189" s="16">
        <v>25</v>
      </c>
      <c r="M189" s="16">
        <f xml:space="preserve"> K189 * L189</f>
        <v>75</v>
      </c>
      <c r="N189" s="16">
        <f>M189 * $Q$3</f>
        <v>1.125</v>
      </c>
      <c r="O189" s="16">
        <f>M189 * $Q$4</f>
        <v>1.5</v>
      </c>
    </row>
    <row r="190" spans="1:15">
      <c r="A190" s="2">
        <v>189</v>
      </c>
      <c r="B190" s="4">
        <f>DAY(E190)</f>
        <v>30</v>
      </c>
      <c r="C190" s="4">
        <f>MONTH(E190)</f>
        <v>1</v>
      </c>
      <c r="D190" s="4">
        <f>YEAR(E190)</f>
        <v>2023</v>
      </c>
      <c r="E190" s="3">
        <v>44956</v>
      </c>
      <c r="F190" s="4" t="s">
        <v>220</v>
      </c>
      <c r="G190" s="4" t="s">
        <v>8</v>
      </c>
      <c r="H190" s="4">
        <v>63</v>
      </c>
      <c r="I190" s="4" t="str" cm="1">
        <f t="array" ref="I190">_xlfn.IFS(H190&lt;30, "Young Adult", H190&lt;50, "Adult", H190&gt;=50, "Senior")</f>
        <v>Senior</v>
      </c>
      <c r="J190" s="4" t="s">
        <v>2</v>
      </c>
      <c r="K190" s="4">
        <v>1</v>
      </c>
      <c r="L190" s="16">
        <v>50</v>
      </c>
      <c r="M190" s="16">
        <f xml:space="preserve"> K190 * L190</f>
        <v>50</v>
      </c>
      <c r="N190" s="16">
        <f>M190 * $Q$3</f>
        <v>0.75</v>
      </c>
      <c r="O190" s="16">
        <f>M190 * $Q$4</f>
        <v>1</v>
      </c>
    </row>
    <row r="191" spans="1:15">
      <c r="A191" s="2">
        <v>190</v>
      </c>
      <c r="B191" s="4">
        <f>DAY(E191)</f>
        <v>4</v>
      </c>
      <c r="C191" s="4">
        <f>MONTH(E191)</f>
        <v>5</v>
      </c>
      <c r="D191" s="4">
        <f>YEAR(E191)</f>
        <v>2023</v>
      </c>
      <c r="E191" s="3">
        <v>45050</v>
      </c>
      <c r="F191" s="4" t="s">
        <v>221</v>
      </c>
      <c r="G191" s="4" t="s">
        <v>7</v>
      </c>
      <c r="H191" s="4">
        <v>60</v>
      </c>
      <c r="I191" s="4" t="str" cm="1">
        <f t="array" ref="I191">_xlfn.IFS(H191&lt;30, "Young Adult", H191&lt;50, "Adult", H191&gt;=50, "Senior")</f>
        <v>Senior</v>
      </c>
      <c r="J191" s="4" t="s">
        <v>2</v>
      </c>
      <c r="K191" s="4">
        <v>3</v>
      </c>
      <c r="L191" s="16">
        <v>30</v>
      </c>
      <c r="M191" s="16">
        <f xml:space="preserve"> K191 * L191</f>
        <v>90</v>
      </c>
      <c r="N191" s="16">
        <f>M191 * $Q$3</f>
        <v>1.3499999999999999</v>
      </c>
      <c r="O191" s="16">
        <f>M191 * $Q$4</f>
        <v>1.8</v>
      </c>
    </row>
    <row r="192" spans="1:15">
      <c r="A192" s="2">
        <v>191</v>
      </c>
      <c r="B192" s="4">
        <f>DAY(E192)</f>
        <v>18</v>
      </c>
      <c r="C192" s="4">
        <f>MONTH(E192)</f>
        <v>10</v>
      </c>
      <c r="D192" s="4">
        <f>YEAR(E192)</f>
        <v>2023</v>
      </c>
      <c r="E192" s="3">
        <v>45217</v>
      </c>
      <c r="F192" s="4" t="s">
        <v>222</v>
      </c>
      <c r="G192" s="4" t="s">
        <v>8</v>
      </c>
      <c r="H192" s="4">
        <v>64</v>
      </c>
      <c r="I192" s="4" t="str" cm="1">
        <f t="array" ref="I192">_xlfn.IFS(H192&lt;30, "Young Adult", H192&lt;50, "Adult", H192&gt;=50, "Senior")</f>
        <v>Senior</v>
      </c>
      <c r="J192" s="4" t="s">
        <v>2</v>
      </c>
      <c r="K192" s="4">
        <v>1</v>
      </c>
      <c r="L192" s="16">
        <v>25</v>
      </c>
      <c r="M192" s="16">
        <f xml:space="preserve"> K192 * L192</f>
        <v>25</v>
      </c>
      <c r="N192" s="16">
        <f>M192 * $Q$3</f>
        <v>0.375</v>
      </c>
      <c r="O192" s="16">
        <f>M192 * $Q$4</f>
        <v>0.5</v>
      </c>
    </row>
    <row r="193" spans="1:15">
      <c r="A193" s="2">
        <v>192</v>
      </c>
      <c r="B193" s="4">
        <f>DAY(E193)</f>
        <v>10</v>
      </c>
      <c r="C193" s="4">
        <f>MONTH(E193)</f>
        <v>2</v>
      </c>
      <c r="D193" s="4">
        <f>YEAR(E193)</f>
        <v>2023</v>
      </c>
      <c r="E193" s="3">
        <v>44967</v>
      </c>
      <c r="F193" s="4" t="s">
        <v>223</v>
      </c>
      <c r="G193" s="4" t="s">
        <v>8</v>
      </c>
      <c r="H193" s="4">
        <v>62</v>
      </c>
      <c r="I193" s="4" t="str" cm="1">
        <f t="array" ref="I193">_xlfn.IFS(H193&lt;30, "Young Adult", H193&lt;50, "Adult", H193&gt;=50, "Senior")</f>
        <v>Senior</v>
      </c>
      <c r="J193" s="4" t="s">
        <v>2</v>
      </c>
      <c r="K193" s="4">
        <v>2</v>
      </c>
      <c r="L193" s="16">
        <v>50</v>
      </c>
      <c r="M193" s="16">
        <f xml:space="preserve"> K193 * L193</f>
        <v>100</v>
      </c>
      <c r="N193" s="16">
        <f>M193 * $Q$3</f>
        <v>1.5</v>
      </c>
      <c r="O193" s="16">
        <f>M193 * $Q$4</f>
        <v>2</v>
      </c>
    </row>
    <row r="194" spans="1:15">
      <c r="A194" s="2">
        <v>193</v>
      </c>
      <c r="B194" s="4">
        <f>DAY(E194)</f>
        <v>13</v>
      </c>
      <c r="C194" s="4">
        <f>MONTH(E194)</f>
        <v>2</v>
      </c>
      <c r="D194" s="4">
        <f>YEAR(E194)</f>
        <v>2023</v>
      </c>
      <c r="E194" s="3">
        <v>44970</v>
      </c>
      <c r="F194" s="4" t="s">
        <v>224</v>
      </c>
      <c r="G194" s="4" t="s">
        <v>8</v>
      </c>
      <c r="H194" s="4">
        <v>35</v>
      </c>
      <c r="I194" s="4" t="str" cm="1">
        <f t="array" ref="I194">_xlfn.IFS(H194&lt;30, "Young Adult", H194&lt;50, "Adult", H194&gt;=50, "Senior")</f>
        <v>Adult</v>
      </c>
      <c r="J194" s="4" t="s">
        <v>2</v>
      </c>
      <c r="K194" s="4">
        <v>3</v>
      </c>
      <c r="L194" s="16">
        <v>500</v>
      </c>
      <c r="M194" s="16">
        <f xml:space="preserve"> K194 * L194</f>
        <v>1500</v>
      </c>
      <c r="N194" s="16">
        <f>M194 * $Q$3</f>
        <v>22.5</v>
      </c>
      <c r="O194" s="16">
        <f>M194 * $Q$4</f>
        <v>30</v>
      </c>
    </row>
    <row r="195" spans="1:15">
      <c r="A195" s="2">
        <v>194</v>
      </c>
      <c r="B195" s="4">
        <f>DAY(E195)</f>
        <v>6</v>
      </c>
      <c r="C195" s="4">
        <f>MONTH(E195)</f>
        <v>9</v>
      </c>
      <c r="D195" s="4">
        <f>YEAR(E195)</f>
        <v>2023</v>
      </c>
      <c r="E195" s="3">
        <v>45175</v>
      </c>
      <c r="F195" s="4" t="s">
        <v>225</v>
      </c>
      <c r="G195" s="4" t="s">
        <v>8</v>
      </c>
      <c r="H195" s="4">
        <v>55</v>
      </c>
      <c r="I195" s="4" t="str" cm="1">
        <f t="array" ref="I195">_xlfn.IFS(H195&lt;30, "Young Adult", H195&lt;50, "Adult", H195&gt;=50, "Senior")</f>
        <v>Senior</v>
      </c>
      <c r="J195" s="4" t="s">
        <v>3</v>
      </c>
      <c r="K195" s="4">
        <v>4</v>
      </c>
      <c r="L195" s="16">
        <v>50</v>
      </c>
      <c r="M195" s="16">
        <f xml:space="preserve"> K195 * L195</f>
        <v>200</v>
      </c>
      <c r="N195" s="16">
        <f>M195 * $Q$3</f>
        <v>3</v>
      </c>
      <c r="O195" s="16">
        <f>M195 * $Q$4</f>
        <v>4</v>
      </c>
    </row>
    <row r="196" spans="1:15">
      <c r="A196" s="2">
        <v>195</v>
      </c>
      <c r="B196" s="4">
        <f>DAY(E196)</f>
        <v>5</v>
      </c>
      <c r="C196" s="4">
        <f>MONTH(E196)</f>
        <v>2</v>
      </c>
      <c r="D196" s="4">
        <f>YEAR(E196)</f>
        <v>2023</v>
      </c>
      <c r="E196" s="3">
        <v>44962</v>
      </c>
      <c r="F196" s="4" t="s">
        <v>226</v>
      </c>
      <c r="G196" s="4" t="s">
        <v>8</v>
      </c>
      <c r="H196" s="4">
        <v>52</v>
      </c>
      <c r="I196" s="4" t="str" cm="1">
        <f t="array" ref="I196">_xlfn.IFS(H196&lt;30, "Young Adult", H196&lt;50, "Adult", H196&gt;=50, "Senior")</f>
        <v>Senior</v>
      </c>
      <c r="J196" s="4" t="s">
        <v>3</v>
      </c>
      <c r="K196" s="4">
        <v>1</v>
      </c>
      <c r="L196" s="16">
        <v>30</v>
      </c>
      <c r="M196" s="16">
        <f xml:space="preserve"> K196 * L196</f>
        <v>30</v>
      </c>
      <c r="N196" s="16">
        <f>M196 * $Q$3</f>
        <v>0.44999999999999996</v>
      </c>
      <c r="O196" s="16">
        <f>M196 * $Q$4</f>
        <v>0.6</v>
      </c>
    </row>
    <row r="197" spans="1:15">
      <c r="A197" s="2">
        <v>196</v>
      </c>
      <c r="B197" s="4">
        <f>DAY(E197)</f>
        <v>30</v>
      </c>
      <c r="C197" s="4">
        <f>MONTH(E197)</f>
        <v>9</v>
      </c>
      <c r="D197" s="4">
        <f>YEAR(E197)</f>
        <v>2023</v>
      </c>
      <c r="E197" s="3">
        <v>45199</v>
      </c>
      <c r="F197" s="4" t="s">
        <v>227</v>
      </c>
      <c r="G197" s="4" t="s">
        <v>7</v>
      </c>
      <c r="H197" s="4">
        <v>32</v>
      </c>
      <c r="I197" s="4" t="str" cm="1">
        <f t="array" ref="I197">_xlfn.IFS(H197&lt;30, "Young Adult", H197&lt;50, "Adult", H197&gt;=50, "Senior")</f>
        <v>Adult</v>
      </c>
      <c r="J197" s="4" t="s">
        <v>3</v>
      </c>
      <c r="K197" s="4">
        <v>3</v>
      </c>
      <c r="L197" s="16">
        <v>300</v>
      </c>
      <c r="M197" s="16">
        <f xml:space="preserve"> K197 * L197</f>
        <v>900</v>
      </c>
      <c r="N197" s="16">
        <f>M197 * $Q$3</f>
        <v>13.5</v>
      </c>
      <c r="O197" s="16">
        <f>M197 * $Q$4</f>
        <v>18</v>
      </c>
    </row>
    <row r="198" spans="1:15">
      <c r="A198" s="2">
        <v>197</v>
      </c>
      <c r="B198" s="4">
        <f>DAY(E198)</f>
        <v>6</v>
      </c>
      <c r="C198" s="4">
        <f>MONTH(E198)</f>
        <v>3</v>
      </c>
      <c r="D198" s="4">
        <f>YEAR(E198)</f>
        <v>2023</v>
      </c>
      <c r="E198" s="3">
        <v>44991</v>
      </c>
      <c r="F198" s="4" t="s">
        <v>228</v>
      </c>
      <c r="G198" s="4" t="s">
        <v>7</v>
      </c>
      <c r="H198" s="4">
        <v>42</v>
      </c>
      <c r="I198" s="4" t="str" cm="1">
        <f t="array" ref="I198">_xlfn.IFS(H198&lt;30, "Young Adult", H198&lt;50, "Adult", H198&gt;=50, "Senior")</f>
        <v>Adult</v>
      </c>
      <c r="J198" s="4" t="s">
        <v>3</v>
      </c>
      <c r="K198" s="4">
        <v>4</v>
      </c>
      <c r="L198" s="16">
        <v>50</v>
      </c>
      <c r="M198" s="16">
        <f xml:space="preserve"> K198 * L198</f>
        <v>200</v>
      </c>
      <c r="N198" s="16">
        <f>M198 * $Q$3</f>
        <v>3</v>
      </c>
      <c r="O198" s="16">
        <f>M198 * $Q$4</f>
        <v>4</v>
      </c>
    </row>
    <row r="199" spans="1:15">
      <c r="A199" s="2">
        <v>198</v>
      </c>
      <c r="B199" s="4">
        <f>DAY(E199)</f>
        <v>7</v>
      </c>
      <c r="C199" s="4">
        <f>MONTH(E199)</f>
        <v>3</v>
      </c>
      <c r="D199" s="4">
        <f>YEAR(E199)</f>
        <v>2023</v>
      </c>
      <c r="E199" s="3">
        <v>44992</v>
      </c>
      <c r="F199" s="4" t="s">
        <v>229</v>
      </c>
      <c r="G199" s="4" t="s">
        <v>7</v>
      </c>
      <c r="H199" s="4">
        <v>54</v>
      </c>
      <c r="I199" s="4" t="str" cm="1">
        <f t="array" ref="I199">_xlfn.IFS(H199&lt;30, "Young Adult", H199&lt;50, "Adult", H199&gt;=50, "Senior")</f>
        <v>Senior</v>
      </c>
      <c r="J199" s="4" t="s">
        <v>2</v>
      </c>
      <c r="K199" s="4">
        <v>3</v>
      </c>
      <c r="L199" s="16">
        <v>300</v>
      </c>
      <c r="M199" s="16">
        <f xml:space="preserve"> K199 * L199</f>
        <v>900</v>
      </c>
      <c r="N199" s="16">
        <f>M199 * $Q$3</f>
        <v>13.5</v>
      </c>
      <c r="O199" s="16">
        <f>M199 * $Q$4</f>
        <v>18</v>
      </c>
    </row>
    <row r="200" spans="1:15">
      <c r="A200" s="2">
        <v>199</v>
      </c>
      <c r="B200" s="4">
        <f>DAY(E200)</f>
        <v>4</v>
      </c>
      <c r="C200" s="4">
        <f>MONTH(E200)</f>
        <v>12</v>
      </c>
      <c r="D200" s="4">
        <f>YEAR(E200)</f>
        <v>2023</v>
      </c>
      <c r="E200" s="3">
        <v>45264</v>
      </c>
      <c r="F200" s="4" t="s">
        <v>230</v>
      </c>
      <c r="G200" s="4" t="s">
        <v>8</v>
      </c>
      <c r="H200" s="4">
        <v>45</v>
      </c>
      <c r="I200" s="4" t="str" cm="1">
        <f t="array" ref="I200">_xlfn.IFS(H200&lt;30, "Young Adult", H200&lt;50, "Adult", H200&gt;=50, "Senior")</f>
        <v>Adult</v>
      </c>
      <c r="J200" s="4" t="s">
        <v>2</v>
      </c>
      <c r="K200" s="4">
        <v>3</v>
      </c>
      <c r="L200" s="16">
        <v>500</v>
      </c>
      <c r="M200" s="16">
        <f xml:space="preserve"> K200 * L200</f>
        <v>1500</v>
      </c>
      <c r="N200" s="16">
        <f>M200 * $Q$3</f>
        <v>22.5</v>
      </c>
      <c r="O200" s="16">
        <f>M200 * $Q$4</f>
        <v>30</v>
      </c>
    </row>
    <row r="201" spans="1:15">
      <c r="A201" s="2">
        <v>200</v>
      </c>
      <c r="B201" s="4">
        <f>DAY(E201)</f>
        <v>1</v>
      </c>
      <c r="C201" s="4">
        <f>MONTH(E201)</f>
        <v>9</v>
      </c>
      <c r="D201" s="4">
        <f>YEAR(E201)</f>
        <v>2023</v>
      </c>
      <c r="E201" s="3">
        <v>45170</v>
      </c>
      <c r="F201" s="4" t="s">
        <v>231</v>
      </c>
      <c r="G201" s="4" t="s">
        <v>8</v>
      </c>
      <c r="H201" s="4">
        <v>27</v>
      </c>
      <c r="I201" s="4" t="str" cm="1">
        <f t="array" ref="I201">_xlfn.IFS(H201&lt;30, "Young Adult", H201&lt;50, "Adult", H201&gt;=50, "Senior")</f>
        <v>Young Adult</v>
      </c>
      <c r="J201" s="4" t="s">
        <v>2</v>
      </c>
      <c r="K201" s="4">
        <v>3</v>
      </c>
      <c r="L201" s="16">
        <v>50</v>
      </c>
      <c r="M201" s="16">
        <f xml:space="preserve"> K201 * L201</f>
        <v>150</v>
      </c>
      <c r="N201" s="16">
        <f>M201 * $Q$3</f>
        <v>2.25</v>
      </c>
      <c r="O201" s="16">
        <f>M201 * $Q$4</f>
        <v>3</v>
      </c>
    </row>
    <row r="202" spans="1:15">
      <c r="A202" s="2">
        <v>201</v>
      </c>
      <c r="B202" s="4">
        <f>DAY(E202)</f>
        <v>9</v>
      </c>
      <c r="C202" s="4">
        <f>MONTH(E202)</f>
        <v>10</v>
      </c>
      <c r="D202" s="4">
        <f>YEAR(E202)</f>
        <v>2023</v>
      </c>
      <c r="E202" s="3">
        <v>45208</v>
      </c>
      <c r="F202" s="4" t="s">
        <v>232</v>
      </c>
      <c r="G202" s="4" t="s">
        <v>8</v>
      </c>
      <c r="H202" s="4">
        <v>56</v>
      </c>
      <c r="I202" s="4" t="str" cm="1">
        <f t="array" ref="I202">_xlfn.IFS(H202&lt;30, "Young Adult", H202&lt;50, "Adult", H202&gt;=50, "Senior")</f>
        <v>Senior</v>
      </c>
      <c r="J202" s="4" t="s">
        <v>4</v>
      </c>
      <c r="K202" s="4">
        <v>1</v>
      </c>
      <c r="L202" s="16">
        <v>25</v>
      </c>
      <c r="M202" s="16">
        <f xml:space="preserve"> K202 * L202</f>
        <v>25</v>
      </c>
      <c r="N202" s="16">
        <f>M202 * $Q$3</f>
        <v>0.375</v>
      </c>
      <c r="O202" s="16">
        <f>M202 * $Q$4</f>
        <v>0.5</v>
      </c>
    </row>
    <row r="203" spans="1:15">
      <c r="A203" s="2">
        <v>202</v>
      </c>
      <c r="B203" s="4">
        <f>DAY(E203)</f>
        <v>26</v>
      </c>
      <c r="C203" s="4">
        <f>MONTH(E203)</f>
        <v>3</v>
      </c>
      <c r="D203" s="4">
        <f>YEAR(E203)</f>
        <v>2023</v>
      </c>
      <c r="E203" s="3">
        <v>45011</v>
      </c>
      <c r="F203" s="4" t="s">
        <v>233</v>
      </c>
      <c r="G203" s="4" t="s">
        <v>7</v>
      </c>
      <c r="H203" s="4">
        <v>34</v>
      </c>
      <c r="I203" s="4" t="str" cm="1">
        <f t="array" ref="I203">_xlfn.IFS(H203&lt;30, "Young Adult", H203&lt;50, "Adult", H203&gt;=50, "Senior")</f>
        <v>Adult</v>
      </c>
      <c r="J203" s="4" t="s">
        <v>3</v>
      </c>
      <c r="K203" s="4">
        <v>4</v>
      </c>
      <c r="L203" s="16">
        <v>300</v>
      </c>
      <c r="M203" s="16">
        <f xml:space="preserve"> K203 * L203</f>
        <v>1200</v>
      </c>
      <c r="N203" s="16">
        <f>M203 * $Q$3</f>
        <v>18</v>
      </c>
      <c r="O203" s="16">
        <f>M203 * $Q$4</f>
        <v>24</v>
      </c>
    </row>
    <row r="204" spans="1:15">
      <c r="A204" s="2">
        <v>203</v>
      </c>
      <c r="B204" s="4">
        <f>DAY(E204)</f>
        <v>16</v>
      </c>
      <c r="C204" s="4">
        <f>MONTH(E204)</f>
        <v>5</v>
      </c>
      <c r="D204" s="4">
        <f>YEAR(E204)</f>
        <v>2023</v>
      </c>
      <c r="E204" s="3">
        <v>45062</v>
      </c>
      <c r="F204" s="4" t="s">
        <v>234</v>
      </c>
      <c r="G204" s="4" t="s">
        <v>8</v>
      </c>
      <c r="H204" s="4">
        <v>56</v>
      </c>
      <c r="I204" s="4" t="str" cm="1">
        <f t="array" ref="I204">_xlfn.IFS(H204&lt;30, "Young Adult", H204&lt;50, "Adult", H204&gt;=50, "Senior")</f>
        <v>Senior</v>
      </c>
      <c r="J204" s="4" t="s">
        <v>3</v>
      </c>
      <c r="K204" s="4">
        <v>2</v>
      </c>
      <c r="L204" s="16">
        <v>500</v>
      </c>
      <c r="M204" s="16">
        <f xml:space="preserve"> K204 * L204</f>
        <v>1000</v>
      </c>
      <c r="N204" s="16">
        <f>M204 * $Q$3</f>
        <v>15</v>
      </c>
      <c r="O204" s="16">
        <f>M204 * $Q$4</f>
        <v>20</v>
      </c>
    </row>
    <row r="205" spans="1:15">
      <c r="A205" s="2">
        <v>204</v>
      </c>
      <c r="B205" s="4">
        <f>DAY(E205)</f>
        <v>28</v>
      </c>
      <c r="C205" s="4">
        <f>MONTH(E205)</f>
        <v>9</v>
      </c>
      <c r="D205" s="4">
        <f>YEAR(E205)</f>
        <v>2023</v>
      </c>
      <c r="E205" s="3">
        <v>45197</v>
      </c>
      <c r="F205" s="4" t="s">
        <v>235</v>
      </c>
      <c r="G205" s="4" t="s">
        <v>8</v>
      </c>
      <c r="H205" s="4">
        <v>39</v>
      </c>
      <c r="I205" s="4" t="str" cm="1">
        <f t="array" ref="I205">_xlfn.IFS(H205&lt;30, "Young Adult", H205&lt;50, "Adult", H205&gt;=50, "Senior")</f>
        <v>Adult</v>
      </c>
      <c r="J205" s="4" t="s">
        <v>2</v>
      </c>
      <c r="K205" s="4">
        <v>1</v>
      </c>
      <c r="L205" s="16">
        <v>25</v>
      </c>
      <c r="M205" s="16">
        <f xml:space="preserve"> K205 * L205</f>
        <v>25</v>
      </c>
      <c r="N205" s="16">
        <f>M205 * $Q$3</f>
        <v>0.375</v>
      </c>
      <c r="O205" s="16">
        <f>M205 * $Q$4</f>
        <v>0.5</v>
      </c>
    </row>
    <row r="206" spans="1:15">
      <c r="A206" s="2">
        <v>205</v>
      </c>
      <c r="B206" s="4">
        <f>DAY(E206)</f>
        <v>7</v>
      </c>
      <c r="C206" s="4">
        <f>MONTH(E206)</f>
        <v>11</v>
      </c>
      <c r="D206" s="4">
        <f>YEAR(E206)</f>
        <v>2023</v>
      </c>
      <c r="E206" s="3">
        <v>45237</v>
      </c>
      <c r="F206" s="4" t="s">
        <v>236</v>
      </c>
      <c r="G206" s="4" t="s">
        <v>7</v>
      </c>
      <c r="H206" s="4">
        <v>43</v>
      </c>
      <c r="I206" s="4" t="str" cm="1">
        <f t="array" ref="I206">_xlfn.IFS(H206&lt;30, "Young Adult", H206&lt;50, "Adult", H206&gt;=50, "Senior")</f>
        <v>Adult</v>
      </c>
      <c r="J206" s="4" t="s">
        <v>3</v>
      </c>
      <c r="K206" s="4">
        <v>1</v>
      </c>
      <c r="L206" s="16">
        <v>25</v>
      </c>
      <c r="M206" s="16">
        <f xml:space="preserve"> K206 * L206</f>
        <v>25</v>
      </c>
      <c r="N206" s="16">
        <f>M206 * $Q$3</f>
        <v>0.375</v>
      </c>
      <c r="O206" s="16">
        <f>M206 * $Q$4</f>
        <v>0.5</v>
      </c>
    </row>
    <row r="207" spans="1:15">
      <c r="A207" s="2">
        <v>206</v>
      </c>
      <c r="B207" s="4">
        <f>DAY(E207)</f>
        <v>5</v>
      </c>
      <c r="C207" s="4">
        <f>MONTH(E207)</f>
        <v>8</v>
      </c>
      <c r="D207" s="4">
        <f>YEAR(E207)</f>
        <v>2023</v>
      </c>
      <c r="E207" s="3">
        <v>45143</v>
      </c>
      <c r="F207" s="4" t="s">
        <v>237</v>
      </c>
      <c r="G207" s="4" t="s">
        <v>8</v>
      </c>
      <c r="H207" s="4">
        <v>61</v>
      </c>
      <c r="I207" s="4" t="str" cm="1">
        <f t="array" ref="I207">_xlfn.IFS(H207&lt;30, "Young Adult", H207&lt;50, "Adult", H207&gt;=50, "Senior")</f>
        <v>Senior</v>
      </c>
      <c r="J207" s="4" t="s">
        <v>3</v>
      </c>
      <c r="K207" s="4">
        <v>1</v>
      </c>
      <c r="L207" s="16">
        <v>25</v>
      </c>
      <c r="M207" s="16">
        <f xml:space="preserve"> K207 * L207</f>
        <v>25</v>
      </c>
      <c r="N207" s="16">
        <f>M207 * $Q$3</f>
        <v>0.375</v>
      </c>
      <c r="O207" s="16">
        <f>M207 * $Q$4</f>
        <v>0.5</v>
      </c>
    </row>
    <row r="208" spans="1:15">
      <c r="A208" s="2">
        <v>207</v>
      </c>
      <c r="B208" s="4">
        <f>DAY(E208)</f>
        <v>19</v>
      </c>
      <c r="C208" s="4">
        <f>MONTH(E208)</f>
        <v>4</v>
      </c>
      <c r="D208" s="4">
        <f>YEAR(E208)</f>
        <v>2023</v>
      </c>
      <c r="E208" s="3">
        <v>45035</v>
      </c>
      <c r="F208" s="4" t="s">
        <v>238</v>
      </c>
      <c r="G208" s="4" t="s">
        <v>7</v>
      </c>
      <c r="H208" s="4">
        <v>42</v>
      </c>
      <c r="I208" s="4" t="str" cm="1">
        <f t="array" ref="I208">_xlfn.IFS(H208&lt;30, "Young Adult", H208&lt;50, "Adult", H208&gt;=50, "Senior")</f>
        <v>Adult</v>
      </c>
      <c r="J208" s="4" t="s">
        <v>2</v>
      </c>
      <c r="K208" s="4">
        <v>2</v>
      </c>
      <c r="L208" s="16">
        <v>25</v>
      </c>
      <c r="M208" s="16">
        <f xml:space="preserve"> K208 * L208</f>
        <v>50</v>
      </c>
      <c r="N208" s="16">
        <f>M208 * $Q$3</f>
        <v>0.75</v>
      </c>
      <c r="O208" s="16">
        <f>M208 * $Q$4</f>
        <v>1</v>
      </c>
    </row>
    <row r="209" spans="1:15">
      <c r="A209" s="2">
        <v>208</v>
      </c>
      <c r="B209" s="4">
        <f>DAY(E209)</f>
        <v>4</v>
      </c>
      <c r="C209" s="4">
        <f>MONTH(E209)</f>
        <v>10</v>
      </c>
      <c r="D209" s="4">
        <f>YEAR(E209)</f>
        <v>2023</v>
      </c>
      <c r="E209" s="3">
        <v>45203</v>
      </c>
      <c r="F209" s="4" t="s">
        <v>239</v>
      </c>
      <c r="G209" s="4" t="s">
        <v>7</v>
      </c>
      <c r="H209" s="4">
        <v>34</v>
      </c>
      <c r="I209" s="4" t="str" cm="1">
        <f t="array" ref="I209">_xlfn.IFS(H209&lt;30, "Young Adult", H209&lt;50, "Adult", H209&gt;=50, "Senior")</f>
        <v>Adult</v>
      </c>
      <c r="J209" s="4" t="s">
        <v>4</v>
      </c>
      <c r="K209" s="4">
        <v>4</v>
      </c>
      <c r="L209" s="16">
        <v>50</v>
      </c>
      <c r="M209" s="16">
        <f xml:space="preserve"> K209 * L209</f>
        <v>200</v>
      </c>
      <c r="N209" s="16">
        <f>M209 * $Q$3</f>
        <v>3</v>
      </c>
      <c r="O209" s="16">
        <f>M209 * $Q$4</f>
        <v>4</v>
      </c>
    </row>
    <row r="210" spans="1:15">
      <c r="A210" s="2">
        <v>209</v>
      </c>
      <c r="B210" s="4">
        <f>DAY(E210)</f>
        <v>20</v>
      </c>
      <c r="C210" s="4">
        <f>MONTH(E210)</f>
        <v>12</v>
      </c>
      <c r="D210" s="4">
        <f>YEAR(E210)</f>
        <v>2023</v>
      </c>
      <c r="E210" s="3">
        <v>45280</v>
      </c>
      <c r="F210" s="4" t="s">
        <v>240</v>
      </c>
      <c r="G210" s="4" t="s">
        <v>7</v>
      </c>
      <c r="H210" s="4">
        <v>30</v>
      </c>
      <c r="I210" s="4" t="str" cm="1">
        <f t="array" ref="I210">_xlfn.IFS(H210&lt;30, "Young Adult", H210&lt;50, "Adult", H210&gt;=50, "Senior")</f>
        <v>Adult</v>
      </c>
      <c r="J210" s="4" t="s">
        <v>4</v>
      </c>
      <c r="K210" s="4">
        <v>4</v>
      </c>
      <c r="L210" s="16">
        <v>50</v>
      </c>
      <c r="M210" s="16">
        <f xml:space="preserve"> K210 * L210</f>
        <v>200</v>
      </c>
      <c r="N210" s="16">
        <f>M210 * $Q$3</f>
        <v>3</v>
      </c>
      <c r="O210" s="16">
        <f>M210 * $Q$4</f>
        <v>4</v>
      </c>
    </row>
    <row r="211" spans="1:15">
      <c r="A211" s="2">
        <v>210</v>
      </c>
      <c r="B211" s="4">
        <f>DAY(E211)</f>
        <v>13</v>
      </c>
      <c r="C211" s="4">
        <f>MONTH(E211)</f>
        <v>4</v>
      </c>
      <c r="D211" s="4">
        <f>YEAR(E211)</f>
        <v>2023</v>
      </c>
      <c r="E211" s="3">
        <v>45029</v>
      </c>
      <c r="F211" s="4" t="s">
        <v>241</v>
      </c>
      <c r="G211" s="4" t="s">
        <v>8</v>
      </c>
      <c r="H211" s="4">
        <v>37</v>
      </c>
      <c r="I211" s="4" t="str" cm="1">
        <f t="array" ref="I211">_xlfn.IFS(H211&lt;30, "Young Adult", H211&lt;50, "Adult", H211&gt;=50, "Senior")</f>
        <v>Adult</v>
      </c>
      <c r="J211" s="4" t="s">
        <v>4</v>
      </c>
      <c r="K211" s="4">
        <v>4</v>
      </c>
      <c r="L211" s="16">
        <v>50</v>
      </c>
      <c r="M211" s="16">
        <f xml:space="preserve"> K211 * L211</f>
        <v>200</v>
      </c>
      <c r="N211" s="16">
        <f>M211 * $Q$3</f>
        <v>3</v>
      </c>
      <c r="O211" s="16">
        <f>M211 * $Q$4</f>
        <v>4</v>
      </c>
    </row>
    <row r="212" spans="1:15">
      <c r="A212" s="2">
        <v>211</v>
      </c>
      <c r="B212" s="4">
        <f>DAY(E212)</f>
        <v>1</v>
      </c>
      <c r="C212" s="4">
        <f>MONTH(E212)</f>
        <v>1</v>
      </c>
      <c r="D212" s="4">
        <f>YEAR(E212)</f>
        <v>2024</v>
      </c>
      <c r="E212" s="3">
        <v>45292</v>
      </c>
      <c r="F212" s="4" t="s">
        <v>242</v>
      </c>
      <c r="G212" s="4" t="s">
        <v>8</v>
      </c>
      <c r="H212" s="4">
        <v>42</v>
      </c>
      <c r="I212" s="4" t="str" cm="1">
        <f t="array" ref="I212">_xlfn.IFS(H212&lt;30, "Young Adult", H212&lt;50, "Adult", H212&gt;=50, "Senior")</f>
        <v>Adult</v>
      </c>
      <c r="J212" s="4" t="s">
        <v>2</v>
      </c>
      <c r="K212" s="4">
        <v>3</v>
      </c>
      <c r="L212" s="16">
        <v>500</v>
      </c>
      <c r="M212" s="16">
        <f xml:space="preserve"> K212 * L212</f>
        <v>1500</v>
      </c>
      <c r="N212" s="16">
        <f>M212 * $Q$3</f>
        <v>22.5</v>
      </c>
      <c r="O212" s="16">
        <f>M212 * $Q$4</f>
        <v>30</v>
      </c>
    </row>
    <row r="213" spans="1:15">
      <c r="A213" s="2">
        <v>212</v>
      </c>
      <c r="B213" s="4">
        <f>DAY(E213)</f>
        <v>9</v>
      </c>
      <c r="C213" s="4">
        <f>MONTH(E213)</f>
        <v>6</v>
      </c>
      <c r="D213" s="4">
        <f>YEAR(E213)</f>
        <v>2023</v>
      </c>
      <c r="E213" s="3">
        <v>45086</v>
      </c>
      <c r="F213" s="4" t="s">
        <v>243</v>
      </c>
      <c r="G213" s="4" t="s">
        <v>8</v>
      </c>
      <c r="H213" s="4">
        <v>21</v>
      </c>
      <c r="I213" s="4" t="str" cm="1">
        <f t="array" ref="I213">_xlfn.IFS(H213&lt;30, "Young Adult", H213&lt;50, "Adult", H213&gt;=50, "Senior")</f>
        <v>Young Adult</v>
      </c>
      <c r="J213" s="4" t="s">
        <v>3</v>
      </c>
      <c r="K213" s="4">
        <v>3</v>
      </c>
      <c r="L213" s="16">
        <v>500</v>
      </c>
      <c r="M213" s="16">
        <f xml:space="preserve"> K213 * L213</f>
        <v>1500</v>
      </c>
      <c r="N213" s="16">
        <f>M213 * $Q$3</f>
        <v>22.5</v>
      </c>
      <c r="O213" s="16">
        <f>M213 * $Q$4</f>
        <v>30</v>
      </c>
    </row>
    <row r="214" spans="1:15">
      <c r="A214" s="2">
        <v>213</v>
      </c>
      <c r="B214" s="4">
        <f>DAY(E214)</f>
        <v>24</v>
      </c>
      <c r="C214" s="4">
        <f>MONTH(E214)</f>
        <v>7</v>
      </c>
      <c r="D214" s="4">
        <f>YEAR(E214)</f>
        <v>2023</v>
      </c>
      <c r="E214" s="3">
        <v>45131</v>
      </c>
      <c r="F214" s="4" t="s">
        <v>244</v>
      </c>
      <c r="G214" s="4" t="s">
        <v>8</v>
      </c>
      <c r="H214" s="4">
        <v>27</v>
      </c>
      <c r="I214" s="4" t="str" cm="1">
        <f t="array" ref="I214">_xlfn.IFS(H214&lt;30, "Young Adult", H214&lt;50, "Adult", H214&gt;=50, "Senior")</f>
        <v>Young Adult</v>
      </c>
      <c r="J214" s="4" t="s">
        <v>2</v>
      </c>
      <c r="K214" s="4">
        <v>3</v>
      </c>
      <c r="L214" s="16">
        <v>500</v>
      </c>
      <c r="M214" s="16">
        <f xml:space="preserve"> K214 * L214</f>
        <v>1500</v>
      </c>
      <c r="N214" s="16">
        <f>M214 * $Q$3</f>
        <v>22.5</v>
      </c>
      <c r="O214" s="16">
        <f>M214 * $Q$4</f>
        <v>30</v>
      </c>
    </row>
    <row r="215" spans="1:15">
      <c r="A215" s="2">
        <v>214</v>
      </c>
      <c r="B215" s="4">
        <f>DAY(E215)</f>
        <v>10</v>
      </c>
      <c r="C215" s="4">
        <f>MONTH(E215)</f>
        <v>12</v>
      </c>
      <c r="D215" s="4">
        <f>YEAR(E215)</f>
        <v>2023</v>
      </c>
      <c r="E215" s="3">
        <v>45270</v>
      </c>
      <c r="F215" s="4" t="s">
        <v>245</v>
      </c>
      <c r="G215" s="4" t="s">
        <v>8</v>
      </c>
      <c r="H215" s="4">
        <v>20</v>
      </c>
      <c r="I215" s="4" t="str" cm="1">
        <f t="array" ref="I215">_xlfn.IFS(H215&lt;30, "Young Adult", H215&lt;50, "Adult", H215&gt;=50, "Senior")</f>
        <v>Young Adult</v>
      </c>
      <c r="J215" s="4" t="s">
        <v>2</v>
      </c>
      <c r="K215" s="4">
        <v>2</v>
      </c>
      <c r="L215" s="16">
        <v>30</v>
      </c>
      <c r="M215" s="16">
        <f xml:space="preserve"> K215 * L215</f>
        <v>60</v>
      </c>
      <c r="N215" s="16">
        <f>M215 * $Q$3</f>
        <v>0.89999999999999991</v>
      </c>
      <c r="O215" s="16">
        <f>M215 * $Q$4</f>
        <v>1.2</v>
      </c>
    </row>
    <row r="216" spans="1:15">
      <c r="A216" s="2">
        <v>215</v>
      </c>
      <c r="B216" s="4">
        <f>DAY(E216)</f>
        <v>29</v>
      </c>
      <c r="C216" s="4">
        <f>MONTH(E216)</f>
        <v>11</v>
      </c>
      <c r="D216" s="4">
        <f>YEAR(E216)</f>
        <v>2023</v>
      </c>
      <c r="E216" s="3">
        <v>45259</v>
      </c>
      <c r="F216" s="4" t="s">
        <v>246</v>
      </c>
      <c r="G216" s="4" t="s">
        <v>8</v>
      </c>
      <c r="H216" s="4">
        <v>58</v>
      </c>
      <c r="I216" s="4" t="str" cm="1">
        <f t="array" ref="I216">_xlfn.IFS(H216&lt;30, "Young Adult", H216&lt;50, "Adult", H216&gt;=50, "Senior")</f>
        <v>Senior</v>
      </c>
      <c r="J216" s="4" t="s">
        <v>3</v>
      </c>
      <c r="K216" s="4">
        <v>3</v>
      </c>
      <c r="L216" s="16">
        <v>500</v>
      </c>
      <c r="M216" s="16">
        <f xml:space="preserve"> K216 * L216</f>
        <v>1500</v>
      </c>
      <c r="N216" s="16">
        <f>M216 * $Q$3</f>
        <v>22.5</v>
      </c>
      <c r="O216" s="16">
        <f>M216 * $Q$4</f>
        <v>30</v>
      </c>
    </row>
    <row r="217" spans="1:15">
      <c r="A217" s="2">
        <v>216</v>
      </c>
      <c r="B217" s="4">
        <f>DAY(E217)</f>
        <v>11</v>
      </c>
      <c r="C217" s="4">
        <f>MONTH(E217)</f>
        <v>7</v>
      </c>
      <c r="D217" s="4">
        <f>YEAR(E217)</f>
        <v>2023</v>
      </c>
      <c r="E217" s="3">
        <v>45118</v>
      </c>
      <c r="F217" s="4" t="s">
        <v>247</v>
      </c>
      <c r="G217" s="4" t="s">
        <v>8</v>
      </c>
      <c r="H217" s="4">
        <v>62</v>
      </c>
      <c r="I217" s="4" t="str" cm="1">
        <f t="array" ref="I217">_xlfn.IFS(H217&lt;30, "Young Adult", H217&lt;50, "Adult", H217&gt;=50, "Senior")</f>
        <v>Senior</v>
      </c>
      <c r="J217" s="4" t="s">
        <v>4</v>
      </c>
      <c r="K217" s="4">
        <v>2</v>
      </c>
      <c r="L217" s="16">
        <v>50</v>
      </c>
      <c r="M217" s="16">
        <f xml:space="preserve"> K217 * L217</f>
        <v>100</v>
      </c>
      <c r="N217" s="16">
        <f>M217 * $Q$3</f>
        <v>1.5</v>
      </c>
      <c r="O217" s="16">
        <f>M217 * $Q$4</f>
        <v>2</v>
      </c>
    </row>
    <row r="218" spans="1:15">
      <c r="A218" s="2">
        <v>217</v>
      </c>
      <c r="B218" s="4">
        <f>DAY(E218)</f>
        <v>13</v>
      </c>
      <c r="C218" s="4">
        <f>MONTH(E218)</f>
        <v>8</v>
      </c>
      <c r="D218" s="4">
        <f>YEAR(E218)</f>
        <v>2023</v>
      </c>
      <c r="E218" s="3">
        <v>45151</v>
      </c>
      <c r="F218" s="4" t="s">
        <v>248</v>
      </c>
      <c r="G218" s="4" t="s">
        <v>7</v>
      </c>
      <c r="H218" s="4">
        <v>35</v>
      </c>
      <c r="I218" s="4" t="str" cm="1">
        <f t="array" ref="I218">_xlfn.IFS(H218&lt;30, "Young Adult", H218&lt;50, "Adult", H218&gt;=50, "Senior")</f>
        <v>Adult</v>
      </c>
      <c r="J218" s="4" t="s">
        <v>4</v>
      </c>
      <c r="K218" s="4">
        <v>4</v>
      </c>
      <c r="L218" s="16">
        <v>50</v>
      </c>
      <c r="M218" s="16">
        <f xml:space="preserve"> K218 * L218</f>
        <v>200</v>
      </c>
      <c r="N218" s="16">
        <f>M218 * $Q$3</f>
        <v>3</v>
      </c>
      <c r="O218" s="16">
        <f>M218 * $Q$4</f>
        <v>4</v>
      </c>
    </row>
    <row r="219" spans="1:15">
      <c r="A219" s="2">
        <v>218</v>
      </c>
      <c r="B219" s="4">
        <f>DAY(E219)</f>
        <v>22</v>
      </c>
      <c r="C219" s="4">
        <f>MONTH(E219)</f>
        <v>9</v>
      </c>
      <c r="D219" s="4">
        <f>YEAR(E219)</f>
        <v>2023</v>
      </c>
      <c r="E219" s="3">
        <v>45191</v>
      </c>
      <c r="F219" s="4" t="s">
        <v>249</v>
      </c>
      <c r="G219" s="4" t="s">
        <v>8</v>
      </c>
      <c r="H219" s="4">
        <v>64</v>
      </c>
      <c r="I219" s="4" t="str" cm="1">
        <f t="array" ref="I219">_xlfn.IFS(H219&lt;30, "Young Adult", H219&lt;50, "Adult", H219&gt;=50, "Senior")</f>
        <v>Senior</v>
      </c>
      <c r="J219" s="4" t="s">
        <v>2</v>
      </c>
      <c r="K219" s="4">
        <v>3</v>
      </c>
      <c r="L219" s="16">
        <v>30</v>
      </c>
      <c r="M219" s="16">
        <f xml:space="preserve"> K219 * L219</f>
        <v>90</v>
      </c>
      <c r="N219" s="16">
        <f>M219 * $Q$3</f>
        <v>1.3499999999999999</v>
      </c>
      <c r="O219" s="16">
        <f>M219 * $Q$4</f>
        <v>1.8</v>
      </c>
    </row>
    <row r="220" spans="1:15">
      <c r="A220" s="2">
        <v>219</v>
      </c>
      <c r="B220" s="4">
        <f>DAY(E220)</f>
        <v>20</v>
      </c>
      <c r="C220" s="4">
        <f>MONTH(E220)</f>
        <v>8</v>
      </c>
      <c r="D220" s="4">
        <f>YEAR(E220)</f>
        <v>2023</v>
      </c>
      <c r="E220" s="3">
        <v>45158</v>
      </c>
      <c r="F220" s="4" t="s">
        <v>250</v>
      </c>
      <c r="G220" s="4" t="s">
        <v>7</v>
      </c>
      <c r="H220" s="4">
        <v>53</v>
      </c>
      <c r="I220" s="4" t="str" cm="1">
        <f t="array" ref="I220">_xlfn.IFS(H220&lt;30, "Young Adult", H220&lt;50, "Adult", H220&gt;=50, "Senior")</f>
        <v>Senior</v>
      </c>
      <c r="J220" s="4" t="s">
        <v>4</v>
      </c>
      <c r="K220" s="4">
        <v>3</v>
      </c>
      <c r="L220" s="16">
        <v>30</v>
      </c>
      <c r="M220" s="16">
        <f xml:space="preserve"> K220 * L220</f>
        <v>90</v>
      </c>
      <c r="N220" s="16">
        <f>M220 * $Q$3</f>
        <v>1.3499999999999999</v>
      </c>
      <c r="O220" s="16">
        <f>M220 * $Q$4</f>
        <v>1.8</v>
      </c>
    </row>
    <row r="221" spans="1:15">
      <c r="A221" s="2">
        <v>220</v>
      </c>
      <c r="B221" s="4">
        <f>DAY(E221)</f>
        <v>3</v>
      </c>
      <c r="C221" s="4">
        <f>MONTH(E221)</f>
        <v>3</v>
      </c>
      <c r="D221" s="4">
        <f>YEAR(E221)</f>
        <v>2023</v>
      </c>
      <c r="E221" s="3">
        <v>44988</v>
      </c>
      <c r="F221" s="4" t="s">
        <v>251</v>
      </c>
      <c r="G221" s="4" t="s">
        <v>8</v>
      </c>
      <c r="H221" s="4">
        <v>64</v>
      </c>
      <c r="I221" s="4" t="str" cm="1">
        <f t="array" ref="I221">_xlfn.IFS(H221&lt;30, "Young Adult", H221&lt;50, "Adult", H221&gt;=50, "Senior")</f>
        <v>Senior</v>
      </c>
      <c r="J221" s="4" t="s">
        <v>2</v>
      </c>
      <c r="K221" s="4">
        <v>1</v>
      </c>
      <c r="L221" s="16">
        <v>500</v>
      </c>
      <c r="M221" s="16">
        <f xml:space="preserve"> K221 * L221</f>
        <v>500</v>
      </c>
      <c r="N221" s="16">
        <f>M221 * $Q$3</f>
        <v>7.5</v>
      </c>
      <c r="O221" s="16">
        <f>M221 * $Q$4</f>
        <v>10</v>
      </c>
    </row>
    <row r="222" spans="1:15">
      <c r="A222" s="2">
        <v>221</v>
      </c>
      <c r="B222" s="4">
        <f>DAY(E222)</f>
        <v>7</v>
      </c>
      <c r="C222" s="4">
        <f>MONTH(E222)</f>
        <v>5</v>
      </c>
      <c r="D222" s="4">
        <f>YEAR(E222)</f>
        <v>2023</v>
      </c>
      <c r="E222" s="3">
        <v>45053</v>
      </c>
      <c r="F222" s="4" t="s">
        <v>252</v>
      </c>
      <c r="G222" s="4" t="s">
        <v>8</v>
      </c>
      <c r="H222" s="4">
        <v>39</v>
      </c>
      <c r="I222" s="4" t="str" cm="1">
        <f t="array" ref="I222">_xlfn.IFS(H222&lt;30, "Young Adult", H222&lt;50, "Adult", H222&gt;=50, "Senior")</f>
        <v>Adult</v>
      </c>
      <c r="J222" s="4" t="s">
        <v>2</v>
      </c>
      <c r="K222" s="4">
        <v>2</v>
      </c>
      <c r="L222" s="16">
        <v>300</v>
      </c>
      <c r="M222" s="16">
        <f xml:space="preserve"> K222 * L222</f>
        <v>600</v>
      </c>
      <c r="N222" s="16">
        <f>M222 * $Q$3</f>
        <v>9</v>
      </c>
      <c r="O222" s="16">
        <f>M222 * $Q$4</f>
        <v>12</v>
      </c>
    </row>
    <row r="223" spans="1:15">
      <c r="A223" s="2">
        <v>222</v>
      </c>
      <c r="B223" s="4">
        <f>DAY(E223)</f>
        <v>26</v>
      </c>
      <c r="C223" s="4">
        <f>MONTH(E223)</f>
        <v>4</v>
      </c>
      <c r="D223" s="4">
        <f>YEAR(E223)</f>
        <v>2023</v>
      </c>
      <c r="E223" s="3">
        <v>45042</v>
      </c>
      <c r="F223" s="4" t="s">
        <v>253</v>
      </c>
      <c r="G223" s="4" t="s">
        <v>8</v>
      </c>
      <c r="H223" s="4">
        <v>51</v>
      </c>
      <c r="I223" s="4" t="str" cm="1">
        <f t="array" ref="I223">_xlfn.IFS(H223&lt;30, "Young Adult", H223&lt;50, "Adult", H223&gt;=50, "Senior")</f>
        <v>Senior</v>
      </c>
      <c r="J223" s="4" t="s">
        <v>3</v>
      </c>
      <c r="K223" s="4">
        <v>4</v>
      </c>
      <c r="L223" s="16">
        <v>30</v>
      </c>
      <c r="M223" s="16">
        <f xml:space="preserve"> K223 * L223</f>
        <v>120</v>
      </c>
      <c r="N223" s="16">
        <f>M223 * $Q$3</f>
        <v>1.7999999999999998</v>
      </c>
      <c r="O223" s="16">
        <f>M223 * $Q$4</f>
        <v>2.4</v>
      </c>
    </row>
    <row r="224" spans="1:15">
      <c r="A224" s="2">
        <v>223</v>
      </c>
      <c r="B224" s="4">
        <f>DAY(E224)</f>
        <v>2</v>
      </c>
      <c r="C224" s="4">
        <f>MONTH(E224)</f>
        <v>2</v>
      </c>
      <c r="D224" s="4">
        <f>YEAR(E224)</f>
        <v>2023</v>
      </c>
      <c r="E224" s="3">
        <v>44959</v>
      </c>
      <c r="F224" s="4" t="s">
        <v>254</v>
      </c>
      <c r="G224" s="4" t="s">
        <v>7</v>
      </c>
      <c r="H224" s="4">
        <v>64</v>
      </c>
      <c r="I224" s="4" t="str" cm="1">
        <f t="array" ref="I224">_xlfn.IFS(H224&lt;30, "Young Adult", H224&lt;50, "Adult", H224&gt;=50, "Senior")</f>
        <v>Senior</v>
      </c>
      <c r="J224" s="4" t="s">
        <v>3</v>
      </c>
      <c r="K224" s="4">
        <v>1</v>
      </c>
      <c r="L224" s="16">
        <v>25</v>
      </c>
      <c r="M224" s="16">
        <f xml:space="preserve"> K224 * L224</f>
        <v>25</v>
      </c>
      <c r="N224" s="16">
        <f>M224 * $Q$3</f>
        <v>0.375</v>
      </c>
      <c r="O224" s="16">
        <f>M224 * $Q$4</f>
        <v>0.5</v>
      </c>
    </row>
    <row r="225" spans="1:15">
      <c r="A225" s="2">
        <v>224</v>
      </c>
      <c r="B225" s="4">
        <f>DAY(E225)</f>
        <v>23</v>
      </c>
      <c r="C225" s="4">
        <f>MONTH(E225)</f>
        <v>6</v>
      </c>
      <c r="D225" s="4">
        <f>YEAR(E225)</f>
        <v>2023</v>
      </c>
      <c r="E225" s="3">
        <v>45100</v>
      </c>
      <c r="F225" s="4" t="s">
        <v>255</v>
      </c>
      <c r="G225" s="4" t="s">
        <v>7</v>
      </c>
      <c r="H225" s="4">
        <v>25</v>
      </c>
      <c r="I225" s="4" t="str" cm="1">
        <f t="array" ref="I225">_xlfn.IFS(H225&lt;30, "Young Adult", H225&lt;50, "Adult", H225&gt;=50, "Senior")</f>
        <v>Young Adult</v>
      </c>
      <c r="J225" s="4" t="s">
        <v>3</v>
      </c>
      <c r="K225" s="4">
        <v>1</v>
      </c>
      <c r="L225" s="16">
        <v>50</v>
      </c>
      <c r="M225" s="16">
        <f xml:space="preserve"> K225 * L225</f>
        <v>50</v>
      </c>
      <c r="N225" s="16">
        <f>M225 * $Q$3</f>
        <v>0.75</v>
      </c>
      <c r="O225" s="16">
        <f>M225 * $Q$4</f>
        <v>1</v>
      </c>
    </row>
    <row r="226" spans="1:15">
      <c r="A226" s="2">
        <v>225</v>
      </c>
      <c r="B226" s="4">
        <f>DAY(E226)</f>
        <v>11</v>
      </c>
      <c r="C226" s="4">
        <f>MONTH(E226)</f>
        <v>1</v>
      </c>
      <c r="D226" s="4">
        <f>YEAR(E226)</f>
        <v>2023</v>
      </c>
      <c r="E226" s="3">
        <v>44937</v>
      </c>
      <c r="F226" s="4" t="s">
        <v>256</v>
      </c>
      <c r="G226" s="4" t="s">
        <v>7</v>
      </c>
      <c r="H226" s="4">
        <v>57</v>
      </c>
      <c r="I226" s="4" t="str" cm="1">
        <f t="array" ref="I226">_xlfn.IFS(H226&lt;30, "Young Adult", H226&lt;50, "Adult", H226&gt;=50, "Senior")</f>
        <v>Senior</v>
      </c>
      <c r="J226" s="4" t="s">
        <v>2</v>
      </c>
      <c r="K226" s="4">
        <v>4</v>
      </c>
      <c r="L226" s="16">
        <v>25</v>
      </c>
      <c r="M226" s="16">
        <f xml:space="preserve"> K226 * L226</f>
        <v>100</v>
      </c>
      <c r="N226" s="16">
        <f>M226 * $Q$3</f>
        <v>1.5</v>
      </c>
      <c r="O226" s="16">
        <f>M226 * $Q$4</f>
        <v>2</v>
      </c>
    </row>
    <row r="227" spans="1:15">
      <c r="A227" s="2">
        <v>226</v>
      </c>
      <c r="B227" s="4">
        <f>DAY(E227)</f>
        <v>29</v>
      </c>
      <c r="C227" s="4">
        <f>MONTH(E227)</f>
        <v>10</v>
      </c>
      <c r="D227" s="4">
        <f>YEAR(E227)</f>
        <v>2023</v>
      </c>
      <c r="E227" s="3">
        <v>45228</v>
      </c>
      <c r="F227" s="4" t="s">
        <v>257</v>
      </c>
      <c r="G227" s="4" t="s">
        <v>7</v>
      </c>
      <c r="H227" s="4">
        <v>61</v>
      </c>
      <c r="I227" s="4" t="str" cm="1">
        <f t="array" ref="I227">_xlfn.IFS(H227&lt;30, "Young Adult", H227&lt;50, "Adult", H227&gt;=50, "Senior")</f>
        <v>Senior</v>
      </c>
      <c r="J227" s="4" t="s">
        <v>3</v>
      </c>
      <c r="K227" s="4">
        <v>1</v>
      </c>
      <c r="L227" s="16">
        <v>50</v>
      </c>
      <c r="M227" s="16">
        <f xml:space="preserve"> K227 * L227</f>
        <v>50</v>
      </c>
      <c r="N227" s="16">
        <f>M227 * $Q$3</f>
        <v>0.75</v>
      </c>
      <c r="O227" s="16">
        <f>M227 * $Q$4</f>
        <v>1</v>
      </c>
    </row>
    <row r="228" spans="1:15">
      <c r="A228" s="2">
        <v>227</v>
      </c>
      <c r="B228" s="4">
        <f>DAY(E228)</f>
        <v>11</v>
      </c>
      <c r="C228" s="4">
        <f>MONTH(E228)</f>
        <v>10</v>
      </c>
      <c r="D228" s="4">
        <f>YEAR(E228)</f>
        <v>2023</v>
      </c>
      <c r="E228" s="3">
        <v>45210</v>
      </c>
      <c r="F228" s="4" t="s">
        <v>258</v>
      </c>
      <c r="G228" s="4" t="s">
        <v>8</v>
      </c>
      <c r="H228" s="4">
        <v>36</v>
      </c>
      <c r="I228" s="4" t="str" cm="1">
        <f t="array" ref="I228">_xlfn.IFS(H228&lt;30, "Young Adult", H228&lt;50, "Adult", H228&gt;=50, "Senior")</f>
        <v>Adult</v>
      </c>
      <c r="J228" s="4" t="s">
        <v>4</v>
      </c>
      <c r="K228" s="4">
        <v>2</v>
      </c>
      <c r="L228" s="16">
        <v>50</v>
      </c>
      <c r="M228" s="16">
        <f xml:space="preserve"> K228 * L228</f>
        <v>100</v>
      </c>
      <c r="N228" s="16">
        <f>M228 * $Q$3</f>
        <v>1.5</v>
      </c>
      <c r="O228" s="16">
        <f>M228 * $Q$4</f>
        <v>2</v>
      </c>
    </row>
    <row r="229" spans="1:15">
      <c r="A229" s="2">
        <v>228</v>
      </c>
      <c r="B229" s="4">
        <f>DAY(E229)</f>
        <v>28</v>
      </c>
      <c r="C229" s="4">
        <f>MONTH(E229)</f>
        <v>4</v>
      </c>
      <c r="D229" s="4">
        <f>YEAR(E229)</f>
        <v>2023</v>
      </c>
      <c r="E229" s="3">
        <v>45044</v>
      </c>
      <c r="F229" s="4" t="s">
        <v>259</v>
      </c>
      <c r="G229" s="4" t="s">
        <v>7</v>
      </c>
      <c r="H229" s="4">
        <v>59</v>
      </c>
      <c r="I229" s="4" t="str" cm="1">
        <f t="array" ref="I229">_xlfn.IFS(H229&lt;30, "Young Adult", H229&lt;50, "Adult", H229&gt;=50, "Senior")</f>
        <v>Senior</v>
      </c>
      <c r="J229" s="4" t="s">
        <v>4</v>
      </c>
      <c r="K229" s="4">
        <v>2</v>
      </c>
      <c r="L229" s="16">
        <v>30</v>
      </c>
      <c r="M229" s="16">
        <f xml:space="preserve"> K229 * L229</f>
        <v>60</v>
      </c>
      <c r="N229" s="16">
        <f>M229 * $Q$3</f>
        <v>0.89999999999999991</v>
      </c>
      <c r="O229" s="16">
        <f>M229 * $Q$4</f>
        <v>1.2</v>
      </c>
    </row>
    <row r="230" spans="1:15">
      <c r="A230" s="2">
        <v>229</v>
      </c>
      <c r="B230" s="4">
        <f>DAY(E230)</f>
        <v>29</v>
      </c>
      <c r="C230" s="4">
        <f>MONTH(E230)</f>
        <v>10</v>
      </c>
      <c r="D230" s="4">
        <f>YEAR(E230)</f>
        <v>2023</v>
      </c>
      <c r="E230" s="3">
        <v>45228</v>
      </c>
      <c r="F230" s="4" t="s">
        <v>260</v>
      </c>
      <c r="G230" s="4" t="s">
        <v>8</v>
      </c>
      <c r="H230" s="4">
        <v>58</v>
      </c>
      <c r="I230" s="4" t="str" cm="1">
        <f t="array" ref="I230">_xlfn.IFS(H230&lt;30, "Young Adult", H230&lt;50, "Adult", H230&gt;=50, "Senior")</f>
        <v>Senior</v>
      </c>
      <c r="J230" s="4" t="s">
        <v>2</v>
      </c>
      <c r="K230" s="4">
        <v>3</v>
      </c>
      <c r="L230" s="16">
        <v>30</v>
      </c>
      <c r="M230" s="16">
        <f xml:space="preserve"> K230 * L230</f>
        <v>90</v>
      </c>
      <c r="N230" s="16">
        <f>M230 * $Q$3</f>
        <v>1.3499999999999999</v>
      </c>
      <c r="O230" s="16">
        <f>M230 * $Q$4</f>
        <v>1.8</v>
      </c>
    </row>
    <row r="231" spans="1:15">
      <c r="A231" s="2">
        <v>230</v>
      </c>
      <c r="B231" s="4">
        <f>DAY(E231)</f>
        <v>23</v>
      </c>
      <c r="C231" s="4">
        <f>MONTH(E231)</f>
        <v>4</v>
      </c>
      <c r="D231" s="4">
        <f>YEAR(E231)</f>
        <v>2023</v>
      </c>
      <c r="E231" s="3">
        <v>45039</v>
      </c>
      <c r="F231" s="4" t="s">
        <v>261</v>
      </c>
      <c r="G231" s="4" t="s">
        <v>8</v>
      </c>
      <c r="H231" s="4">
        <v>54</v>
      </c>
      <c r="I231" s="4" t="str" cm="1">
        <f t="array" ref="I231">_xlfn.IFS(H231&lt;30, "Young Adult", H231&lt;50, "Adult", H231&gt;=50, "Senior")</f>
        <v>Senior</v>
      </c>
      <c r="J231" s="4" t="s">
        <v>2</v>
      </c>
      <c r="K231" s="4">
        <v>1</v>
      </c>
      <c r="L231" s="16">
        <v>25</v>
      </c>
      <c r="M231" s="16">
        <f xml:space="preserve"> K231 * L231</f>
        <v>25</v>
      </c>
      <c r="N231" s="16">
        <f>M231 * $Q$3</f>
        <v>0.375</v>
      </c>
      <c r="O231" s="16">
        <f>M231 * $Q$4</f>
        <v>0.5</v>
      </c>
    </row>
    <row r="232" spans="1:15">
      <c r="A232" s="2">
        <v>231</v>
      </c>
      <c r="B232" s="4">
        <f>DAY(E232)</f>
        <v>4</v>
      </c>
      <c r="C232" s="4">
        <f>MONTH(E232)</f>
        <v>1</v>
      </c>
      <c r="D232" s="4">
        <f>YEAR(E232)</f>
        <v>2023</v>
      </c>
      <c r="E232" s="3">
        <v>44930</v>
      </c>
      <c r="F232" s="4" t="s">
        <v>262</v>
      </c>
      <c r="G232" s="4" t="s">
        <v>7</v>
      </c>
      <c r="H232" s="4">
        <v>23</v>
      </c>
      <c r="I232" s="4" t="str" cm="1">
        <f t="array" ref="I232">_xlfn.IFS(H232&lt;30, "Young Adult", H232&lt;50, "Adult", H232&gt;=50, "Senior")</f>
        <v>Young Adult</v>
      </c>
      <c r="J232" s="4" t="s">
        <v>3</v>
      </c>
      <c r="K232" s="4">
        <v>3</v>
      </c>
      <c r="L232" s="16">
        <v>50</v>
      </c>
      <c r="M232" s="16">
        <f xml:space="preserve"> K232 * L232</f>
        <v>150</v>
      </c>
      <c r="N232" s="16">
        <f>M232 * $Q$3</f>
        <v>2.25</v>
      </c>
      <c r="O232" s="16">
        <f>M232 * $Q$4</f>
        <v>3</v>
      </c>
    </row>
    <row r="233" spans="1:15">
      <c r="A233" s="2">
        <v>232</v>
      </c>
      <c r="B233" s="4">
        <f>DAY(E233)</f>
        <v>6</v>
      </c>
      <c r="C233" s="4">
        <f>MONTH(E233)</f>
        <v>2</v>
      </c>
      <c r="D233" s="4">
        <f>YEAR(E233)</f>
        <v>2023</v>
      </c>
      <c r="E233" s="3">
        <v>44963</v>
      </c>
      <c r="F233" s="4" t="s">
        <v>263</v>
      </c>
      <c r="G233" s="4" t="s">
        <v>7</v>
      </c>
      <c r="H233" s="4">
        <v>43</v>
      </c>
      <c r="I233" s="4" t="str" cm="1">
        <f t="array" ref="I233">_xlfn.IFS(H233&lt;30, "Young Adult", H233&lt;50, "Adult", H233&gt;=50, "Senior")</f>
        <v>Adult</v>
      </c>
      <c r="J233" s="4" t="s">
        <v>2</v>
      </c>
      <c r="K233" s="4">
        <v>1</v>
      </c>
      <c r="L233" s="16">
        <v>25</v>
      </c>
      <c r="M233" s="16">
        <f xml:space="preserve"> K233 * L233</f>
        <v>25</v>
      </c>
      <c r="N233" s="16">
        <f>M233 * $Q$3</f>
        <v>0.375</v>
      </c>
      <c r="O233" s="16">
        <f>M233 * $Q$4</f>
        <v>0.5</v>
      </c>
    </row>
    <row r="234" spans="1:15">
      <c r="A234" s="2">
        <v>233</v>
      </c>
      <c r="B234" s="4">
        <f>DAY(E234)</f>
        <v>29</v>
      </c>
      <c r="C234" s="4">
        <f>MONTH(E234)</f>
        <v>12</v>
      </c>
      <c r="D234" s="4">
        <f>YEAR(E234)</f>
        <v>2023</v>
      </c>
      <c r="E234" s="3">
        <v>45289</v>
      </c>
      <c r="F234" s="4" t="s">
        <v>264</v>
      </c>
      <c r="G234" s="4" t="s">
        <v>7</v>
      </c>
      <c r="H234" s="4">
        <v>51</v>
      </c>
      <c r="I234" s="4" t="str" cm="1">
        <f t="array" ref="I234">_xlfn.IFS(H234&lt;30, "Young Adult", H234&lt;50, "Adult", H234&gt;=50, "Senior")</f>
        <v>Senior</v>
      </c>
      <c r="J234" s="4" t="s">
        <v>2</v>
      </c>
      <c r="K234" s="4">
        <v>2</v>
      </c>
      <c r="L234" s="16">
        <v>300</v>
      </c>
      <c r="M234" s="16">
        <f xml:space="preserve"> K234 * L234</f>
        <v>600</v>
      </c>
      <c r="N234" s="16">
        <f>M234 * $Q$3</f>
        <v>9</v>
      </c>
      <c r="O234" s="16">
        <f>M234 * $Q$4</f>
        <v>12</v>
      </c>
    </row>
    <row r="235" spans="1:15">
      <c r="A235" s="2">
        <v>234</v>
      </c>
      <c r="B235" s="4">
        <f>DAY(E235)</f>
        <v>20</v>
      </c>
      <c r="C235" s="4">
        <f>MONTH(E235)</f>
        <v>11</v>
      </c>
      <c r="D235" s="4">
        <f>YEAR(E235)</f>
        <v>2023</v>
      </c>
      <c r="E235" s="3">
        <v>45250</v>
      </c>
      <c r="F235" s="4" t="s">
        <v>265</v>
      </c>
      <c r="G235" s="4" t="s">
        <v>7</v>
      </c>
      <c r="H235" s="4">
        <v>62</v>
      </c>
      <c r="I235" s="4" t="str" cm="1">
        <f t="array" ref="I235">_xlfn.IFS(H235&lt;30, "Young Adult", H235&lt;50, "Adult", H235&gt;=50, "Senior")</f>
        <v>Senior</v>
      </c>
      <c r="J235" s="4" t="s">
        <v>4</v>
      </c>
      <c r="K235" s="4">
        <v>2</v>
      </c>
      <c r="L235" s="16">
        <v>25</v>
      </c>
      <c r="M235" s="16">
        <f xml:space="preserve"> K235 * L235</f>
        <v>50</v>
      </c>
      <c r="N235" s="16">
        <f>M235 * $Q$3</f>
        <v>0.75</v>
      </c>
      <c r="O235" s="16">
        <f>M235 * $Q$4</f>
        <v>1</v>
      </c>
    </row>
    <row r="236" spans="1:15">
      <c r="A236" s="2">
        <v>235</v>
      </c>
      <c r="B236" s="4">
        <f>DAY(E236)</f>
        <v>31</v>
      </c>
      <c r="C236" s="4">
        <f>MONTH(E236)</f>
        <v>1</v>
      </c>
      <c r="D236" s="4">
        <f>YEAR(E236)</f>
        <v>2023</v>
      </c>
      <c r="E236" s="3">
        <v>44957</v>
      </c>
      <c r="F236" s="4" t="s">
        <v>266</v>
      </c>
      <c r="G236" s="4" t="s">
        <v>7</v>
      </c>
      <c r="H236" s="4">
        <v>23</v>
      </c>
      <c r="I236" s="4" t="str" cm="1">
        <f t="array" ref="I236">_xlfn.IFS(H236&lt;30, "Young Adult", H236&lt;50, "Adult", H236&gt;=50, "Senior")</f>
        <v>Young Adult</v>
      </c>
      <c r="J236" s="4" t="s">
        <v>4</v>
      </c>
      <c r="K236" s="4">
        <v>2</v>
      </c>
      <c r="L236" s="16">
        <v>500</v>
      </c>
      <c r="M236" s="16">
        <f xml:space="preserve"> K236 * L236</f>
        <v>1000</v>
      </c>
      <c r="N236" s="16">
        <f>M236 * $Q$3</f>
        <v>15</v>
      </c>
      <c r="O236" s="16">
        <f>M236 * $Q$4</f>
        <v>20</v>
      </c>
    </row>
    <row r="237" spans="1:15">
      <c r="A237" s="2">
        <v>236</v>
      </c>
      <c r="B237" s="4">
        <f>DAY(E237)</f>
        <v>28</v>
      </c>
      <c r="C237" s="4">
        <f>MONTH(E237)</f>
        <v>4</v>
      </c>
      <c r="D237" s="4">
        <f>YEAR(E237)</f>
        <v>2023</v>
      </c>
      <c r="E237" s="3">
        <v>45044</v>
      </c>
      <c r="F237" s="4" t="s">
        <v>267</v>
      </c>
      <c r="G237" s="4" t="s">
        <v>7</v>
      </c>
      <c r="H237" s="4">
        <v>54</v>
      </c>
      <c r="I237" s="4" t="str" cm="1">
        <f t="array" ref="I237">_xlfn.IFS(H237&lt;30, "Young Adult", H237&lt;50, "Adult", H237&gt;=50, "Senior")</f>
        <v>Senior</v>
      </c>
      <c r="J237" s="4" t="s">
        <v>3</v>
      </c>
      <c r="K237" s="4">
        <v>1</v>
      </c>
      <c r="L237" s="16">
        <v>25</v>
      </c>
      <c r="M237" s="16">
        <f xml:space="preserve"> K237 * L237</f>
        <v>25</v>
      </c>
      <c r="N237" s="16">
        <f>M237 * $Q$3</f>
        <v>0.375</v>
      </c>
      <c r="O237" s="16">
        <f>M237 * $Q$4</f>
        <v>0.5</v>
      </c>
    </row>
    <row r="238" spans="1:15">
      <c r="A238" s="2">
        <v>237</v>
      </c>
      <c r="B238" s="4">
        <f>DAY(E238)</f>
        <v>4</v>
      </c>
      <c r="C238" s="4">
        <f>MONTH(E238)</f>
        <v>2</v>
      </c>
      <c r="D238" s="4">
        <f>YEAR(E238)</f>
        <v>2023</v>
      </c>
      <c r="E238" s="3">
        <v>44961</v>
      </c>
      <c r="F238" s="4" t="s">
        <v>268</v>
      </c>
      <c r="G238" s="4" t="s">
        <v>7</v>
      </c>
      <c r="H238" s="4">
        <v>50</v>
      </c>
      <c r="I238" s="4" t="str" cm="1">
        <f t="array" ref="I238">_xlfn.IFS(H238&lt;30, "Young Adult", H238&lt;50, "Adult", H238&gt;=50, "Senior")</f>
        <v>Senior</v>
      </c>
      <c r="J238" s="4" t="s">
        <v>2</v>
      </c>
      <c r="K238" s="4">
        <v>2</v>
      </c>
      <c r="L238" s="16">
        <v>500</v>
      </c>
      <c r="M238" s="16">
        <f xml:space="preserve"> K238 * L238</f>
        <v>1000</v>
      </c>
      <c r="N238" s="16">
        <f>M238 * $Q$3</f>
        <v>15</v>
      </c>
      <c r="O238" s="16">
        <f>M238 * $Q$4</f>
        <v>20</v>
      </c>
    </row>
    <row r="239" spans="1:15">
      <c r="A239" s="2">
        <v>238</v>
      </c>
      <c r="B239" s="4">
        <f>DAY(E239)</f>
        <v>17</v>
      </c>
      <c r="C239" s="4">
        <f>MONTH(E239)</f>
        <v>1</v>
      </c>
      <c r="D239" s="4">
        <f>YEAR(E239)</f>
        <v>2023</v>
      </c>
      <c r="E239" s="3">
        <v>44943</v>
      </c>
      <c r="F239" s="4" t="s">
        <v>269</v>
      </c>
      <c r="G239" s="4" t="s">
        <v>7</v>
      </c>
      <c r="H239" s="4">
        <v>39</v>
      </c>
      <c r="I239" s="4" t="str" cm="1">
        <f t="array" ref="I239">_xlfn.IFS(H239&lt;30, "Young Adult", H239&lt;50, "Adult", H239&gt;=50, "Senior")</f>
        <v>Adult</v>
      </c>
      <c r="J239" s="4" t="s">
        <v>2</v>
      </c>
      <c r="K239" s="4">
        <v>1</v>
      </c>
      <c r="L239" s="16">
        <v>500</v>
      </c>
      <c r="M239" s="16">
        <f xml:space="preserve"> K239 * L239</f>
        <v>500</v>
      </c>
      <c r="N239" s="16">
        <f>M239 * $Q$3</f>
        <v>7.5</v>
      </c>
      <c r="O239" s="16">
        <f>M239 * $Q$4</f>
        <v>10</v>
      </c>
    </row>
    <row r="240" spans="1:15">
      <c r="A240" s="2">
        <v>239</v>
      </c>
      <c r="B240" s="4">
        <f>DAY(E240)</f>
        <v>19</v>
      </c>
      <c r="C240" s="4">
        <f>MONTH(E240)</f>
        <v>6</v>
      </c>
      <c r="D240" s="4">
        <f>YEAR(E240)</f>
        <v>2023</v>
      </c>
      <c r="E240" s="3">
        <v>45096</v>
      </c>
      <c r="F240" s="4" t="s">
        <v>270</v>
      </c>
      <c r="G240" s="4" t="s">
        <v>8</v>
      </c>
      <c r="H240" s="4">
        <v>38</v>
      </c>
      <c r="I240" s="4" t="str" cm="1">
        <f t="array" ref="I240">_xlfn.IFS(H240&lt;30, "Young Adult", H240&lt;50, "Adult", H240&gt;=50, "Senior")</f>
        <v>Adult</v>
      </c>
      <c r="J240" s="4" t="s">
        <v>4</v>
      </c>
      <c r="K240" s="4">
        <v>3</v>
      </c>
      <c r="L240" s="16">
        <v>500</v>
      </c>
      <c r="M240" s="16">
        <f xml:space="preserve"> K240 * L240</f>
        <v>1500</v>
      </c>
      <c r="N240" s="16">
        <f>M240 * $Q$3</f>
        <v>22.5</v>
      </c>
      <c r="O240" s="16">
        <f>M240 * $Q$4</f>
        <v>30</v>
      </c>
    </row>
    <row r="241" spans="1:15">
      <c r="A241" s="2">
        <v>240</v>
      </c>
      <c r="B241" s="4">
        <f>DAY(E241)</f>
        <v>6</v>
      </c>
      <c r="C241" s="4">
        <f>MONTH(E241)</f>
        <v>2</v>
      </c>
      <c r="D241" s="4">
        <f>YEAR(E241)</f>
        <v>2023</v>
      </c>
      <c r="E241" s="3">
        <v>44963</v>
      </c>
      <c r="F241" s="4" t="s">
        <v>271</v>
      </c>
      <c r="G241" s="4" t="s">
        <v>7</v>
      </c>
      <c r="H241" s="4">
        <v>23</v>
      </c>
      <c r="I241" s="4" t="str" cm="1">
        <f t="array" ref="I241">_xlfn.IFS(H241&lt;30, "Young Adult", H241&lt;50, "Adult", H241&gt;=50, "Senior")</f>
        <v>Young Adult</v>
      </c>
      <c r="J241" s="4" t="s">
        <v>2</v>
      </c>
      <c r="K241" s="4">
        <v>1</v>
      </c>
      <c r="L241" s="16">
        <v>300</v>
      </c>
      <c r="M241" s="16">
        <f xml:space="preserve"> K241 * L241</f>
        <v>300</v>
      </c>
      <c r="N241" s="16">
        <f>M241 * $Q$3</f>
        <v>4.5</v>
      </c>
      <c r="O241" s="16">
        <f>M241 * $Q$4</f>
        <v>6</v>
      </c>
    </row>
    <row r="242" spans="1:15">
      <c r="A242" s="2">
        <v>241</v>
      </c>
      <c r="B242" s="4">
        <f>DAY(E242)</f>
        <v>21</v>
      </c>
      <c r="C242" s="4">
        <f>MONTH(E242)</f>
        <v>9</v>
      </c>
      <c r="D242" s="4">
        <f>YEAR(E242)</f>
        <v>2023</v>
      </c>
      <c r="E242" s="3">
        <v>45190</v>
      </c>
      <c r="F242" s="4" t="s">
        <v>272</v>
      </c>
      <c r="G242" s="4" t="s">
        <v>7</v>
      </c>
      <c r="H242" s="4">
        <v>23</v>
      </c>
      <c r="I242" s="4" t="str" cm="1">
        <f t="array" ref="I242">_xlfn.IFS(H242&lt;30, "Young Adult", H242&lt;50, "Adult", H242&gt;=50, "Senior")</f>
        <v>Young Adult</v>
      </c>
      <c r="J242" s="4" t="s">
        <v>4</v>
      </c>
      <c r="K242" s="4">
        <v>3</v>
      </c>
      <c r="L242" s="16">
        <v>25</v>
      </c>
      <c r="M242" s="16">
        <f xml:space="preserve"> K242 * L242</f>
        <v>75</v>
      </c>
      <c r="N242" s="16">
        <f>M242 * $Q$3</f>
        <v>1.125</v>
      </c>
      <c r="O242" s="16">
        <f>M242 * $Q$4</f>
        <v>1.5</v>
      </c>
    </row>
    <row r="243" spans="1:15">
      <c r="A243" s="2">
        <v>242</v>
      </c>
      <c r="B243" s="4">
        <f>DAY(E243)</f>
        <v>2</v>
      </c>
      <c r="C243" s="4">
        <f>MONTH(E243)</f>
        <v>5</v>
      </c>
      <c r="D243" s="4">
        <f>YEAR(E243)</f>
        <v>2023</v>
      </c>
      <c r="E243" s="3">
        <v>45048</v>
      </c>
      <c r="F243" s="4" t="s">
        <v>273</v>
      </c>
      <c r="G243" s="4" t="s">
        <v>8</v>
      </c>
      <c r="H243" s="4">
        <v>21</v>
      </c>
      <c r="I243" s="4" t="str" cm="1">
        <f t="array" ref="I243">_xlfn.IFS(H243&lt;30, "Young Adult", H243&lt;50, "Adult", H243&gt;=50, "Senior")</f>
        <v>Young Adult</v>
      </c>
      <c r="J243" s="4" t="s">
        <v>3</v>
      </c>
      <c r="K243" s="4">
        <v>1</v>
      </c>
      <c r="L243" s="16">
        <v>25</v>
      </c>
      <c r="M243" s="16">
        <f xml:space="preserve"> K243 * L243</f>
        <v>25</v>
      </c>
      <c r="N243" s="16">
        <f>M243 * $Q$3</f>
        <v>0.375</v>
      </c>
      <c r="O243" s="16">
        <f>M243 * $Q$4</f>
        <v>0.5</v>
      </c>
    </row>
    <row r="244" spans="1:15">
      <c r="A244" s="2">
        <v>243</v>
      </c>
      <c r="B244" s="4">
        <f>DAY(E244)</f>
        <v>23</v>
      </c>
      <c r="C244" s="4">
        <f>MONTH(E244)</f>
        <v>5</v>
      </c>
      <c r="D244" s="4">
        <f>YEAR(E244)</f>
        <v>2023</v>
      </c>
      <c r="E244" s="3">
        <v>45069</v>
      </c>
      <c r="F244" s="4" t="s">
        <v>274</v>
      </c>
      <c r="G244" s="4" t="s">
        <v>7</v>
      </c>
      <c r="H244" s="4">
        <v>47</v>
      </c>
      <c r="I244" s="4" t="str" cm="1">
        <f t="array" ref="I244">_xlfn.IFS(H244&lt;30, "Young Adult", H244&lt;50, "Adult", H244&gt;=50, "Senior")</f>
        <v>Adult</v>
      </c>
      <c r="J244" s="4" t="s">
        <v>4</v>
      </c>
      <c r="K244" s="4">
        <v>3</v>
      </c>
      <c r="L244" s="16">
        <v>300</v>
      </c>
      <c r="M244" s="16">
        <f xml:space="preserve"> K244 * L244</f>
        <v>900</v>
      </c>
      <c r="N244" s="16">
        <f>M244 * $Q$3</f>
        <v>13.5</v>
      </c>
      <c r="O244" s="16">
        <f>M244 * $Q$4</f>
        <v>18</v>
      </c>
    </row>
    <row r="245" spans="1:15">
      <c r="A245" s="2">
        <v>244</v>
      </c>
      <c r="B245" s="4">
        <f>DAY(E245)</f>
        <v>9</v>
      </c>
      <c r="C245" s="4">
        <f>MONTH(E245)</f>
        <v>12</v>
      </c>
      <c r="D245" s="4">
        <f>YEAR(E245)</f>
        <v>2023</v>
      </c>
      <c r="E245" s="3">
        <v>45269</v>
      </c>
      <c r="F245" s="4" t="s">
        <v>275</v>
      </c>
      <c r="G245" s="4" t="s">
        <v>8</v>
      </c>
      <c r="H245" s="4">
        <v>28</v>
      </c>
      <c r="I245" s="4" t="str" cm="1">
        <f t="array" ref="I245">_xlfn.IFS(H245&lt;30, "Young Adult", H245&lt;50, "Adult", H245&gt;=50, "Senior")</f>
        <v>Young Adult</v>
      </c>
      <c r="J245" s="4" t="s">
        <v>2</v>
      </c>
      <c r="K245" s="4">
        <v>2</v>
      </c>
      <c r="L245" s="16">
        <v>50</v>
      </c>
      <c r="M245" s="16">
        <f xml:space="preserve"> K245 * L245</f>
        <v>100</v>
      </c>
      <c r="N245" s="16">
        <f>M245 * $Q$3</f>
        <v>1.5</v>
      </c>
      <c r="O245" s="16">
        <f>M245 * $Q$4</f>
        <v>2</v>
      </c>
    </row>
    <row r="246" spans="1:15">
      <c r="A246" s="2">
        <v>245</v>
      </c>
      <c r="B246" s="4">
        <f>DAY(E246)</f>
        <v>6</v>
      </c>
      <c r="C246" s="4">
        <f>MONTH(E246)</f>
        <v>9</v>
      </c>
      <c r="D246" s="4">
        <f>YEAR(E246)</f>
        <v>2023</v>
      </c>
      <c r="E246" s="3">
        <v>45175</v>
      </c>
      <c r="F246" s="4" t="s">
        <v>276</v>
      </c>
      <c r="G246" s="4" t="s">
        <v>8</v>
      </c>
      <c r="H246" s="4">
        <v>47</v>
      </c>
      <c r="I246" s="4" t="str" cm="1">
        <f t="array" ref="I246">_xlfn.IFS(H246&lt;30, "Young Adult", H246&lt;50, "Adult", H246&gt;=50, "Senior")</f>
        <v>Adult</v>
      </c>
      <c r="J246" s="4" t="s">
        <v>3</v>
      </c>
      <c r="K246" s="4">
        <v>3</v>
      </c>
      <c r="L246" s="16">
        <v>30</v>
      </c>
      <c r="M246" s="16">
        <f xml:space="preserve"> K246 * L246</f>
        <v>90</v>
      </c>
      <c r="N246" s="16">
        <f>M246 * $Q$3</f>
        <v>1.3499999999999999</v>
      </c>
      <c r="O246" s="16">
        <f>M246 * $Q$4</f>
        <v>1.8</v>
      </c>
    </row>
    <row r="247" spans="1:15">
      <c r="A247" s="2">
        <v>246</v>
      </c>
      <c r="B247" s="4">
        <f>DAY(E247)</f>
        <v>20</v>
      </c>
      <c r="C247" s="4">
        <f>MONTH(E247)</f>
        <v>4</v>
      </c>
      <c r="D247" s="4">
        <f>YEAR(E247)</f>
        <v>2023</v>
      </c>
      <c r="E247" s="3">
        <v>45036</v>
      </c>
      <c r="F247" s="4" t="s">
        <v>277</v>
      </c>
      <c r="G247" s="4" t="s">
        <v>7</v>
      </c>
      <c r="H247" s="4">
        <v>48</v>
      </c>
      <c r="I247" s="4" t="str" cm="1">
        <f t="array" ref="I247">_xlfn.IFS(H247&lt;30, "Young Adult", H247&lt;50, "Adult", H247&gt;=50, "Senior")</f>
        <v>Adult</v>
      </c>
      <c r="J247" s="4" t="s">
        <v>4</v>
      </c>
      <c r="K247" s="4">
        <v>2</v>
      </c>
      <c r="L247" s="16">
        <v>25</v>
      </c>
      <c r="M247" s="16">
        <f xml:space="preserve"> K247 * L247</f>
        <v>50</v>
      </c>
      <c r="N247" s="16">
        <f>M247 * $Q$3</f>
        <v>0.75</v>
      </c>
      <c r="O247" s="16">
        <f>M247 * $Q$4</f>
        <v>1</v>
      </c>
    </row>
    <row r="248" spans="1:15">
      <c r="A248" s="2">
        <v>247</v>
      </c>
      <c r="B248" s="4">
        <f>DAY(E248)</f>
        <v>4</v>
      </c>
      <c r="C248" s="4">
        <f>MONTH(E248)</f>
        <v>10</v>
      </c>
      <c r="D248" s="4">
        <f>YEAR(E248)</f>
        <v>2023</v>
      </c>
      <c r="E248" s="3">
        <v>45203</v>
      </c>
      <c r="F248" s="4" t="s">
        <v>278</v>
      </c>
      <c r="G248" s="4" t="s">
        <v>8</v>
      </c>
      <c r="H248" s="4">
        <v>41</v>
      </c>
      <c r="I248" s="4" t="str" cm="1">
        <f t="array" ref="I248">_xlfn.IFS(H248&lt;30, "Young Adult", H248&lt;50, "Adult", H248&gt;=50, "Senior")</f>
        <v>Adult</v>
      </c>
      <c r="J248" s="4" t="s">
        <v>4</v>
      </c>
      <c r="K248" s="4">
        <v>2</v>
      </c>
      <c r="L248" s="16">
        <v>30</v>
      </c>
      <c r="M248" s="16">
        <f xml:space="preserve"> K248 * L248</f>
        <v>60</v>
      </c>
      <c r="N248" s="16">
        <f>M248 * $Q$3</f>
        <v>0.89999999999999991</v>
      </c>
      <c r="O248" s="16">
        <f>M248 * $Q$4</f>
        <v>1.2</v>
      </c>
    </row>
    <row r="249" spans="1:15">
      <c r="A249" s="2">
        <v>248</v>
      </c>
      <c r="B249" s="4">
        <f>DAY(E249)</f>
        <v>9</v>
      </c>
      <c r="C249" s="4">
        <f>MONTH(E249)</f>
        <v>3</v>
      </c>
      <c r="D249" s="4">
        <f>YEAR(E249)</f>
        <v>2023</v>
      </c>
      <c r="E249" s="3">
        <v>44994</v>
      </c>
      <c r="F249" s="4" t="s">
        <v>279</v>
      </c>
      <c r="G249" s="4" t="s">
        <v>8</v>
      </c>
      <c r="H249" s="4">
        <v>26</v>
      </c>
      <c r="I249" s="4" t="str" cm="1">
        <f t="array" ref="I249">_xlfn.IFS(H249&lt;30, "Young Adult", H249&lt;50, "Adult", H249&gt;=50, "Senior")</f>
        <v>Young Adult</v>
      </c>
      <c r="J249" s="4" t="s">
        <v>3</v>
      </c>
      <c r="K249" s="4">
        <v>3</v>
      </c>
      <c r="L249" s="16">
        <v>300</v>
      </c>
      <c r="M249" s="16">
        <f xml:space="preserve"> K249 * L249</f>
        <v>900</v>
      </c>
      <c r="N249" s="16">
        <f>M249 * $Q$3</f>
        <v>13.5</v>
      </c>
      <c r="O249" s="16">
        <f>M249 * $Q$4</f>
        <v>18</v>
      </c>
    </row>
    <row r="250" spans="1:15">
      <c r="A250" s="2">
        <v>249</v>
      </c>
      <c r="B250" s="4">
        <f>DAY(E250)</f>
        <v>20</v>
      </c>
      <c r="C250" s="4">
        <f>MONTH(E250)</f>
        <v>10</v>
      </c>
      <c r="D250" s="4">
        <f>YEAR(E250)</f>
        <v>2023</v>
      </c>
      <c r="E250" s="3">
        <v>45219</v>
      </c>
      <c r="F250" s="4" t="s">
        <v>280</v>
      </c>
      <c r="G250" s="4" t="s">
        <v>8</v>
      </c>
      <c r="H250" s="4">
        <v>20</v>
      </c>
      <c r="I250" s="4" t="str" cm="1">
        <f t="array" ref="I250">_xlfn.IFS(H250&lt;30, "Young Adult", H250&lt;50, "Adult", H250&gt;=50, "Senior")</f>
        <v>Young Adult</v>
      </c>
      <c r="J250" s="4" t="s">
        <v>3</v>
      </c>
      <c r="K250" s="4">
        <v>1</v>
      </c>
      <c r="L250" s="16">
        <v>50</v>
      </c>
      <c r="M250" s="16">
        <f xml:space="preserve"> K250 * L250</f>
        <v>50</v>
      </c>
      <c r="N250" s="16">
        <f>M250 * $Q$3</f>
        <v>0.75</v>
      </c>
      <c r="O250" s="16">
        <f>M250 * $Q$4</f>
        <v>1</v>
      </c>
    </row>
    <row r="251" spans="1:15">
      <c r="A251" s="2">
        <v>250</v>
      </c>
      <c r="B251" s="4">
        <f>DAY(E251)</f>
        <v>23</v>
      </c>
      <c r="C251" s="4">
        <f>MONTH(E251)</f>
        <v>10</v>
      </c>
      <c r="D251" s="4">
        <f>YEAR(E251)</f>
        <v>2023</v>
      </c>
      <c r="E251" s="3">
        <v>45222</v>
      </c>
      <c r="F251" s="4" t="s">
        <v>281</v>
      </c>
      <c r="G251" s="4" t="s">
        <v>8</v>
      </c>
      <c r="H251" s="4">
        <v>48</v>
      </c>
      <c r="I251" s="4" t="str" cm="1">
        <f t="array" ref="I251">_xlfn.IFS(H251&lt;30, "Young Adult", H251&lt;50, "Adult", H251&gt;=50, "Senior")</f>
        <v>Adult</v>
      </c>
      <c r="J251" s="4" t="s">
        <v>4</v>
      </c>
      <c r="K251" s="4">
        <v>1</v>
      </c>
      <c r="L251" s="16">
        <v>50</v>
      </c>
      <c r="M251" s="16">
        <f xml:space="preserve"> K251 * L251</f>
        <v>50</v>
      </c>
      <c r="N251" s="16">
        <f>M251 * $Q$3</f>
        <v>0.75</v>
      </c>
      <c r="O251" s="16">
        <f>M251 * $Q$4</f>
        <v>1</v>
      </c>
    </row>
    <row r="252" spans="1:15">
      <c r="A252" s="2">
        <v>251</v>
      </c>
      <c r="B252" s="4">
        <f>DAY(E252)</f>
        <v>31</v>
      </c>
      <c r="C252" s="4">
        <f>MONTH(E252)</f>
        <v>8</v>
      </c>
      <c r="D252" s="4">
        <f>YEAR(E252)</f>
        <v>2023</v>
      </c>
      <c r="E252" s="3">
        <v>45169</v>
      </c>
      <c r="F252" s="4" t="s">
        <v>282</v>
      </c>
      <c r="G252" s="4" t="s">
        <v>7</v>
      </c>
      <c r="H252" s="4">
        <v>57</v>
      </c>
      <c r="I252" s="4" t="str" cm="1">
        <f t="array" ref="I252">_xlfn.IFS(H252&lt;30, "Young Adult", H252&lt;50, "Adult", H252&gt;=50, "Senior")</f>
        <v>Senior</v>
      </c>
      <c r="J252" s="4" t="s">
        <v>2</v>
      </c>
      <c r="K252" s="4">
        <v>4</v>
      </c>
      <c r="L252" s="16">
        <v>50</v>
      </c>
      <c r="M252" s="16">
        <f xml:space="preserve"> K252 * L252</f>
        <v>200</v>
      </c>
      <c r="N252" s="16">
        <f>M252 * $Q$3</f>
        <v>3</v>
      </c>
      <c r="O252" s="16">
        <f>M252 * $Q$4</f>
        <v>4</v>
      </c>
    </row>
    <row r="253" spans="1:15">
      <c r="A253" s="2">
        <v>252</v>
      </c>
      <c r="B253" s="4">
        <f>DAY(E253)</f>
        <v>5</v>
      </c>
      <c r="C253" s="4">
        <f>MONTH(E253)</f>
        <v>5</v>
      </c>
      <c r="D253" s="4">
        <f>YEAR(E253)</f>
        <v>2023</v>
      </c>
      <c r="E253" s="3">
        <v>45051</v>
      </c>
      <c r="F253" s="4" t="s">
        <v>283</v>
      </c>
      <c r="G253" s="4" t="s">
        <v>8</v>
      </c>
      <c r="H253" s="4">
        <v>54</v>
      </c>
      <c r="I253" s="4" t="str" cm="1">
        <f t="array" ref="I253">_xlfn.IFS(H253&lt;30, "Young Adult", H253&lt;50, "Adult", H253&gt;=50, "Senior")</f>
        <v>Senior</v>
      </c>
      <c r="J253" s="4" t="s">
        <v>4</v>
      </c>
      <c r="K253" s="4">
        <v>1</v>
      </c>
      <c r="L253" s="16">
        <v>300</v>
      </c>
      <c r="M253" s="16">
        <f xml:space="preserve"> K253 * L253</f>
        <v>300</v>
      </c>
      <c r="N253" s="16">
        <f>M253 * $Q$3</f>
        <v>4.5</v>
      </c>
      <c r="O253" s="16">
        <f>M253 * $Q$4</f>
        <v>6</v>
      </c>
    </row>
    <row r="254" spans="1:15">
      <c r="A254" s="2">
        <v>253</v>
      </c>
      <c r="B254" s="4">
        <f>DAY(E254)</f>
        <v>31</v>
      </c>
      <c r="C254" s="4">
        <f>MONTH(E254)</f>
        <v>8</v>
      </c>
      <c r="D254" s="4">
        <f>YEAR(E254)</f>
        <v>2023</v>
      </c>
      <c r="E254" s="3">
        <v>45169</v>
      </c>
      <c r="F254" s="4" t="s">
        <v>284</v>
      </c>
      <c r="G254" s="4" t="s">
        <v>7</v>
      </c>
      <c r="H254" s="4">
        <v>53</v>
      </c>
      <c r="I254" s="4" t="str" cm="1">
        <f t="array" ref="I254">_xlfn.IFS(H254&lt;30, "Young Adult", H254&lt;50, "Adult", H254&gt;=50, "Senior")</f>
        <v>Senior</v>
      </c>
      <c r="J254" s="4" t="s">
        <v>3</v>
      </c>
      <c r="K254" s="4">
        <v>4</v>
      </c>
      <c r="L254" s="16">
        <v>500</v>
      </c>
      <c r="M254" s="16">
        <f xml:space="preserve"> K254 * L254</f>
        <v>2000</v>
      </c>
      <c r="N254" s="16">
        <f>M254 * $Q$3</f>
        <v>30</v>
      </c>
      <c r="O254" s="16">
        <f>M254 * $Q$4</f>
        <v>40</v>
      </c>
    </row>
    <row r="255" spans="1:15">
      <c r="A255" s="2">
        <v>254</v>
      </c>
      <c r="B255" s="4">
        <f>DAY(E255)</f>
        <v>28</v>
      </c>
      <c r="C255" s="4">
        <f>MONTH(E255)</f>
        <v>7</v>
      </c>
      <c r="D255" s="4">
        <f>YEAR(E255)</f>
        <v>2023</v>
      </c>
      <c r="E255" s="3">
        <v>45135</v>
      </c>
      <c r="F255" s="4" t="s">
        <v>285</v>
      </c>
      <c r="G255" s="4" t="s">
        <v>8</v>
      </c>
      <c r="H255" s="4">
        <v>41</v>
      </c>
      <c r="I255" s="4" t="str" cm="1">
        <f t="array" ref="I255">_xlfn.IFS(H255&lt;30, "Young Adult", H255&lt;50, "Adult", H255&gt;=50, "Senior")</f>
        <v>Adult</v>
      </c>
      <c r="J255" s="4" t="s">
        <v>4</v>
      </c>
      <c r="K255" s="4">
        <v>1</v>
      </c>
      <c r="L255" s="16">
        <v>500</v>
      </c>
      <c r="M255" s="16">
        <f xml:space="preserve"> K255 * L255</f>
        <v>500</v>
      </c>
      <c r="N255" s="16">
        <f>M255 * $Q$3</f>
        <v>7.5</v>
      </c>
      <c r="O255" s="16">
        <f>M255 * $Q$4</f>
        <v>10</v>
      </c>
    </row>
    <row r="256" spans="1:15">
      <c r="A256" s="2">
        <v>255</v>
      </c>
      <c r="B256" s="4">
        <f>DAY(E256)</f>
        <v>8</v>
      </c>
      <c r="C256" s="4">
        <f>MONTH(E256)</f>
        <v>4</v>
      </c>
      <c r="D256" s="4">
        <f>YEAR(E256)</f>
        <v>2023</v>
      </c>
      <c r="E256" s="3">
        <v>45024</v>
      </c>
      <c r="F256" s="4" t="s">
        <v>286</v>
      </c>
      <c r="G256" s="4" t="s">
        <v>8</v>
      </c>
      <c r="H256" s="4">
        <v>48</v>
      </c>
      <c r="I256" s="4" t="str" cm="1">
        <f t="array" ref="I256">_xlfn.IFS(H256&lt;30, "Young Adult", H256&lt;50, "Adult", H256&gt;=50, "Senior")</f>
        <v>Adult</v>
      </c>
      <c r="J256" s="4" t="s">
        <v>3</v>
      </c>
      <c r="K256" s="4">
        <v>1</v>
      </c>
      <c r="L256" s="16">
        <v>30</v>
      </c>
      <c r="M256" s="16">
        <f xml:space="preserve"> K256 * L256</f>
        <v>30</v>
      </c>
      <c r="N256" s="16">
        <f>M256 * $Q$3</f>
        <v>0.44999999999999996</v>
      </c>
      <c r="O256" s="16">
        <f>M256 * $Q$4</f>
        <v>0.6</v>
      </c>
    </row>
    <row r="257" spans="1:15">
      <c r="A257" s="2">
        <v>256</v>
      </c>
      <c r="B257" s="4">
        <f>DAY(E257)</f>
        <v>18</v>
      </c>
      <c r="C257" s="4">
        <f>MONTH(E257)</f>
        <v>2</v>
      </c>
      <c r="D257" s="4">
        <f>YEAR(E257)</f>
        <v>2023</v>
      </c>
      <c r="E257" s="3">
        <v>44975</v>
      </c>
      <c r="F257" s="4" t="s">
        <v>287</v>
      </c>
      <c r="G257" s="4" t="s">
        <v>8</v>
      </c>
      <c r="H257" s="4">
        <v>23</v>
      </c>
      <c r="I257" s="4" t="str" cm="1">
        <f t="array" ref="I257">_xlfn.IFS(H257&lt;30, "Young Adult", H257&lt;50, "Adult", H257&gt;=50, "Senior")</f>
        <v>Young Adult</v>
      </c>
      <c r="J257" s="4" t="s">
        <v>3</v>
      </c>
      <c r="K257" s="4">
        <v>2</v>
      </c>
      <c r="L257" s="16">
        <v>500</v>
      </c>
      <c r="M257" s="16">
        <f xml:space="preserve"> K257 * L257</f>
        <v>1000</v>
      </c>
      <c r="N257" s="16">
        <f>M257 * $Q$3</f>
        <v>15</v>
      </c>
      <c r="O257" s="16">
        <f>M257 * $Q$4</f>
        <v>20</v>
      </c>
    </row>
    <row r="258" spans="1:15">
      <c r="A258" s="2">
        <v>257</v>
      </c>
      <c r="B258" s="4">
        <f>DAY(E258)</f>
        <v>19</v>
      </c>
      <c r="C258" s="4">
        <f>MONTH(E258)</f>
        <v>2</v>
      </c>
      <c r="D258" s="4">
        <f>YEAR(E258)</f>
        <v>2023</v>
      </c>
      <c r="E258" s="3">
        <v>44976</v>
      </c>
      <c r="F258" s="4" t="s">
        <v>288</v>
      </c>
      <c r="G258" s="4" t="s">
        <v>8</v>
      </c>
      <c r="H258" s="4">
        <v>19</v>
      </c>
      <c r="I258" s="4" t="str" cm="1">
        <f t="array" ref="I258">_xlfn.IFS(H258&lt;30, "Young Adult", H258&lt;50, "Adult", H258&gt;=50, "Senior")</f>
        <v>Young Adult</v>
      </c>
      <c r="J258" s="4" t="s">
        <v>2</v>
      </c>
      <c r="K258" s="4">
        <v>4</v>
      </c>
      <c r="L258" s="16">
        <v>500</v>
      </c>
      <c r="M258" s="16">
        <f xml:space="preserve"> K258 * L258</f>
        <v>2000</v>
      </c>
      <c r="N258" s="16">
        <f>M258 * $Q$3</f>
        <v>30</v>
      </c>
      <c r="O258" s="16">
        <f>M258 * $Q$4</f>
        <v>40</v>
      </c>
    </row>
    <row r="259" spans="1:15">
      <c r="A259" s="2">
        <v>258</v>
      </c>
      <c r="B259" s="4">
        <f>DAY(E259)</f>
        <v>4</v>
      </c>
      <c r="C259" s="4">
        <f>MONTH(E259)</f>
        <v>12</v>
      </c>
      <c r="D259" s="4">
        <f>YEAR(E259)</f>
        <v>2023</v>
      </c>
      <c r="E259" s="3">
        <v>45264</v>
      </c>
      <c r="F259" s="4" t="s">
        <v>289</v>
      </c>
      <c r="G259" s="4" t="s">
        <v>7</v>
      </c>
      <c r="H259" s="4">
        <v>37</v>
      </c>
      <c r="I259" s="4" t="str" cm="1">
        <f t="array" ref="I259">_xlfn.IFS(H259&lt;30, "Young Adult", H259&lt;50, "Adult", H259&gt;=50, "Senior")</f>
        <v>Adult</v>
      </c>
      <c r="J259" s="4" t="s">
        <v>3</v>
      </c>
      <c r="K259" s="4">
        <v>1</v>
      </c>
      <c r="L259" s="16">
        <v>50</v>
      </c>
      <c r="M259" s="16">
        <f xml:space="preserve"> K259 * L259</f>
        <v>50</v>
      </c>
      <c r="N259" s="16">
        <f>M259 * $Q$3</f>
        <v>0.75</v>
      </c>
      <c r="O259" s="16">
        <f>M259 * $Q$4</f>
        <v>1</v>
      </c>
    </row>
    <row r="260" spans="1:15">
      <c r="A260" s="2">
        <v>259</v>
      </c>
      <c r="B260" s="4">
        <f>DAY(E260)</f>
        <v>9</v>
      </c>
      <c r="C260" s="4">
        <f>MONTH(E260)</f>
        <v>8</v>
      </c>
      <c r="D260" s="4">
        <f>YEAR(E260)</f>
        <v>2023</v>
      </c>
      <c r="E260" s="3">
        <v>45147</v>
      </c>
      <c r="F260" s="4" t="s">
        <v>290</v>
      </c>
      <c r="G260" s="4" t="s">
        <v>7</v>
      </c>
      <c r="H260" s="4">
        <v>45</v>
      </c>
      <c r="I260" s="4" t="str" cm="1">
        <f t="array" ref="I260">_xlfn.IFS(H260&lt;30, "Young Adult", H260&lt;50, "Adult", H260&gt;=50, "Senior")</f>
        <v>Adult</v>
      </c>
      <c r="J260" s="4" t="s">
        <v>3</v>
      </c>
      <c r="K260" s="4">
        <v>4</v>
      </c>
      <c r="L260" s="16">
        <v>50</v>
      </c>
      <c r="M260" s="16">
        <f xml:space="preserve"> K260 * L260</f>
        <v>200</v>
      </c>
      <c r="N260" s="16">
        <f>M260 * $Q$3</f>
        <v>3</v>
      </c>
      <c r="O260" s="16">
        <f>M260 * $Q$4</f>
        <v>4</v>
      </c>
    </row>
    <row r="261" spans="1:15">
      <c r="A261" s="2">
        <v>260</v>
      </c>
      <c r="B261" s="4">
        <f>DAY(E261)</f>
        <v>1</v>
      </c>
      <c r="C261" s="4">
        <f>MONTH(E261)</f>
        <v>7</v>
      </c>
      <c r="D261" s="4">
        <f>YEAR(E261)</f>
        <v>2023</v>
      </c>
      <c r="E261" s="3">
        <v>45108</v>
      </c>
      <c r="F261" s="4" t="s">
        <v>291</v>
      </c>
      <c r="G261" s="4" t="s">
        <v>8</v>
      </c>
      <c r="H261" s="4">
        <v>28</v>
      </c>
      <c r="I261" s="4" t="str" cm="1">
        <f t="array" ref="I261">_xlfn.IFS(H261&lt;30, "Young Adult", H261&lt;50, "Adult", H261&gt;=50, "Senior")</f>
        <v>Young Adult</v>
      </c>
      <c r="J261" s="4" t="s">
        <v>2</v>
      </c>
      <c r="K261" s="4">
        <v>2</v>
      </c>
      <c r="L261" s="16">
        <v>30</v>
      </c>
      <c r="M261" s="16">
        <f xml:space="preserve"> K261 * L261</f>
        <v>60</v>
      </c>
      <c r="N261" s="16">
        <f>M261 * $Q$3</f>
        <v>0.89999999999999991</v>
      </c>
      <c r="O261" s="16">
        <f>M261 * $Q$4</f>
        <v>1.2</v>
      </c>
    </row>
    <row r="262" spans="1:15">
      <c r="A262" s="2">
        <v>261</v>
      </c>
      <c r="B262" s="4">
        <f>DAY(E262)</f>
        <v>5</v>
      </c>
      <c r="C262" s="4">
        <f>MONTH(E262)</f>
        <v>8</v>
      </c>
      <c r="D262" s="4">
        <f>YEAR(E262)</f>
        <v>2023</v>
      </c>
      <c r="E262" s="3">
        <v>45143</v>
      </c>
      <c r="F262" s="4" t="s">
        <v>292</v>
      </c>
      <c r="G262" s="4" t="s">
        <v>8</v>
      </c>
      <c r="H262" s="4">
        <v>21</v>
      </c>
      <c r="I262" s="4" t="str" cm="1">
        <f t="array" ref="I262">_xlfn.IFS(H262&lt;30, "Young Adult", H262&lt;50, "Adult", H262&gt;=50, "Senior")</f>
        <v>Young Adult</v>
      </c>
      <c r="J262" s="4" t="s">
        <v>3</v>
      </c>
      <c r="K262" s="4">
        <v>2</v>
      </c>
      <c r="L262" s="16">
        <v>25</v>
      </c>
      <c r="M262" s="16">
        <f xml:space="preserve"> K262 * L262</f>
        <v>50</v>
      </c>
      <c r="N262" s="16">
        <f>M262 * $Q$3</f>
        <v>0.75</v>
      </c>
      <c r="O262" s="16">
        <f>M262 * $Q$4</f>
        <v>1</v>
      </c>
    </row>
    <row r="263" spans="1:15">
      <c r="A263" s="2">
        <v>262</v>
      </c>
      <c r="B263" s="4">
        <f>DAY(E263)</f>
        <v>30</v>
      </c>
      <c r="C263" s="4">
        <f>MONTH(E263)</f>
        <v>7</v>
      </c>
      <c r="D263" s="4">
        <f>YEAR(E263)</f>
        <v>2023</v>
      </c>
      <c r="E263" s="3">
        <v>45137</v>
      </c>
      <c r="F263" s="4" t="s">
        <v>293</v>
      </c>
      <c r="G263" s="4" t="s">
        <v>7</v>
      </c>
      <c r="H263" s="4">
        <v>32</v>
      </c>
      <c r="I263" s="4" t="str" cm="1">
        <f t="array" ref="I263">_xlfn.IFS(H263&lt;30, "Young Adult", H263&lt;50, "Adult", H263&gt;=50, "Senior")</f>
        <v>Adult</v>
      </c>
      <c r="J263" s="4" t="s">
        <v>2</v>
      </c>
      <c r="K263" s="4">
        <v>4</v>
      </c>
      <c r="L263" s="16">
        <v>30</v>
      </c>
      <c r="M263" s="16">
        <f xml:space="preserve"> K263 * L263</f>
        <v>120</v>
      </c>
      <c r="N263" s="16">
        <f>M263 * $Q$3</f>
        <v>1.7999999999999998</v>
      </c>
      <c r="O263" s="16">
        <f>M263 * $Q$4</f>
        <v>2.4</v>
      </c>
    </row>
    <row r="264" spans="1:15">
      <c r="A264" s="2">
        <v>263</v>
      </c>
      <c r="B264" s="4">
        <f>DAY(E264)</f>
        <v>28</v>
      </c>
      <c r="C264" s="4">
        <f>MONTH(E264)</f>
        <v>8</v>
      </c>
      <c r="D264" s="4">
        <f>YEAR(E264)</f>
        <v>2023</v>
      </c>
      <c r="E264" s="3">
        <v>45166</v>
      </c>
      <c r="F264" s="4" t="s">
        <v>294</v>
      </c>
      <c r="G264" s="4" t="s">
        <v>8</v>
      </c>
      <c r="H264" s="4">
        <v>23</v>
      </c>
      <c r="I264" s="4" t="str" cm="1">
        <f t="array" ref="I264">_xlfn.IFS(H264&lt;30, "Young Adult", H264&lt;50, "Adult", H264&gt;=50, "Senior")</f>
        <v>Young Adult</v>
      </c>
      <c r="J264" s="4" t="s">
        <v>2</v>
      </c>
      <c r="K264" s="4">
        <v>2</v>
      </c>
      <c r="L264" s="16">
        <v>30</v>
      </c>
      <c r="M264" s="16">
        <f xml:space="preserve"> K264 * L264</f>
        <v>60</v>
      </c>
      <c r="N264" s="16">
        <f>M264 * $Q$3</f>
        <v>0.89999999999999991</v>
      </c>
      <c r="O264" s="16">
        <f>M264 * $Q$4</f>
        <v>1.2</v>
      </c>
    </row>
    <row r="265" spans="1:15">
      <c r="A265" s="2">
        <v>264</v>
      </c>
      <c r="B265" s="4">
        <f>DAY(E265)</f>
        <v>28</v>
      </c>
      <c r="C265" s="4">
        <f>MONTH(E265)</f>
        <v>1</v>
      </c>
      <c r="D265" s="4">
        <f>YEAR(E265)</f>
        <v>2023</v>
      </c>
      <c r="E265" s="3">
        <v>44954</v>
      </c>
      <c r="F265" s="4" t="s">
        <v>295</v>
      </c>
      <c r="G265" s="4" t="s">
        <v>8</v>
      </c>
      <c r="H265" s="4">
        <v>47</v>
      </c>
      <c r="I265" s="4" t="str" cm="1">
        <f t="array" ref="I265">_xlfn.IFS(H265&lt;30, "Young Adult", H265&lt;50, "Adult", H265&gt;=50, "Senior")</f>
        <v>Adult</v>
      </c>
      <c r="J265" s="4" t="s">
        <v>3</v>
      </c>
      <c r="K265" s="4">
        <v>3</v>
      </c>
      <c r="L265" s="16">
        <v>300</v>
      </c>
      <c r="M265" s="16">
        <f xml:space="preserve"> K265 * L265</f>
        <v>900</v>
      </c>
      <c r="N265" s="16">
        <f>M265 * $Q$3</f>
        <v>13.5</v>
      </c>
      <c r="O265" s="16">
        <f>M265 * $Q$4</f>
        <v>18</v>
      </c>
    </row>
    <row r="266" spans="1:15">
      <c r="A266" s="2">
        <v>265</v>
      </c>
      <c r="B266" s="4">
        <f>DAY(E266)</f>
        <v>11</v>
      </c>
      <c r="C266" s="4">
        <f>MONTH(E266)</f>
        <v>12</v>
      </c>
      <c r="D266" s="4">
        <f>YEAR(E266)</f>
        <v>2023</v>
      </c>
      <c r="E266" s="3">
        <v>45271</v>
      </c>
      <c r="F266" s="4" t="s">
        <v>296</v>
      </c>
      <c r="G266" s="4" t="s">
        <v>8</v>
      </c>
      <c r="H266" s="4">
        <v>55</v>
      </c>
      <c r="I266" s="4" t="str" cm="1">
        <f t="array" ref="I266">_xlfn.IFS(H266&lt;30, "Young Adult", H266&lt;50, "Adult", H266&gt;=50, "Senior")</f>
        <v>Senior</v>
      </c>
      <c r="J266" s="4" t="s">
        <v>3</v>
      </c>
      <c r="K266" s="4">
        <v>3</v>
      </c>
      <c r="L266" s="16">
        <v>300</v>
      </c>
      <c r="M266" s="16">
        <f xml:space="preserve"> K266 * L266</f>
        <v>900</v>
      </c>
      <c r="N266" s="16">
        <f>M266 * $Q$3</f>
        <v>13.5</v>
      </c>
      <c r="O266" s="16">
        <f>M266 * $Q$4</f>
        <v>18</v>
      </c>
    </row>
    <row r="267" spans="1:15">
      <c r="A267" s="2">
        <v>266</v>
      </c>
      <c r="B267" s="4">
        <f>DAY(E267)</f>
        <v>1</v>
      </c>
      <c r="C267" s="4">
        <f>MONTH(E267)</f>
        <v>12</v>
      </c>
      <c r="D267" s="4">
        <f>YEAR(E267)</f>
        <v>2023</v>
      </c>
      <c r="E267" s="3">
        <v>45261</v>
      </c>
      <c r="F267" s="4" t="s">
        <v>297</v>
      </c>
      <c r="G267" s="4" t="s">
        <v>7</v>
      </c>
      <c r="H267" s="4">
        <v>19</v>
      </c>
      <c r="I267" s="4" t="str" cm="1">
        <f t="array" ref="I267">_xlfn.IFS(H267&lt;30, "Young Adult", H267&lt;50, "Adult", H267&gt;=50, "Senior")</f>
        <v>Young Adult</v>
      </c>
      <c r="J267" s="4" t="s">
        <v>4</v>
      </c>
      <c r="K267" s="4">
        <v>2</v>
      </c>
      <c r="L267" s="16">
        <v>30</v>
      </c>
      <c r="M267" s="16">
        <f xml:space="preserve"> K267 * L267</f>
        <v>60</v>
      </c>
      <c r="N267" s="16">
        <f>M267 * $Q$3</f>
        <v>0.89999999999999991</v>
      </c>
      <c r="O267" s="16">
        <f>M267 * $Q$4</f>
        <v>1.2</v>
      </c>
    </row>
    <row r="268" spans="1:15">
      <c r="A268" s="2">
        <v>267</v>
      </c>
      <c r="B268" s="4">
        <f>DAY(E268)</f>
        <v>27</v>
      </c>
      <c r="C268" s="4">
        <f>MONTH(E268)</f>
        <v>11</v>
      </c>
      <c r="D268" s="4">
        <f>YEAR(E268)</f>
        <v>2023</v>
      </c>
      <c r="E268" s="3">
        <v>45257</v>
      </c>
      <c r="F268" s="4" t="s">
        <v>298</v>
      </c>
      <c r="G268" s="4" t="s">
        <v>7</v>
      </c>
      <c r="H268" s="4">
        <v>32</v>
      </c>
      <c r="I268" s="4" t="str" cm="1">
        <f t="array" ref="I268">_xlfn.IFS(H268&lt;30, "Young Adult", H268&lt;50, "Adult", H268&gt;=50, "Senior")</f>
        <v>Adult</v>
      </c>
      <c r="J268" s="4" t="s">
        <v>2</v>
      </c>
      <c r="K268" s="4">
        <v>3</v>
      </c>
      <c r="L268" s="16">
        <v>30</v>
      </c>
      <c r="M268" s="16">
        <f xml:space="preserve"> K268 * L268</f>
        <v>90</v>
      </c>
      <c r="N268" s="16">
        <f>M268 * $Q$3</f>
        <v>1.3499999999999999</v>
      </c>
      <c r="O268" s="16">
        <f>M268 * $Q$4</f>
        <v>1.8</v>
      </c>
    </row>
    <row r="269" spans="1:15">
      <c r="A269" s="2">
        <v>268</v>
      </c>
      <c r="B269" s="4">
        <f>DAY(E269)</f>
        <v>20</v>
      </c>
      <c r="C269" s="4">
        <f>MONTH(E269)</f>
        <v>2</v>
      </c>
      <c r="D269" s="4">
        <f>YEAR(E269)</f>
        <v>2023</v>
      </c>
      <c r="E269" s="3">
        <v>44977</v>
      </c>
      <c r="F269" s="4" t="s">
        <v>299</v>
      </c>
      <c r="G269" s="4" t="s">
        <v>7</v>
      </c>
      <c r="H269" s="4">
        <v>28</v>
      </c>
      <c r="I269" s="4" t="str" cm="1">
        <f t="array" ref="I269">_xlfn.IFS(H269&lt;30, "Young Adult", H269&lt;50, "Adult", H269&gt;=50, "Senior")</f>
        <v>Young Adult</v>
      </c>
      <c r="J269" s="4" t="s">
        <v>4</v>
      </c>
      <c r="K269" s="4">
        <v>1</v>
      </c>
      <c r="L269" s="16">
        <v>30</v>
      </c>
      <c r="M269" s="16">
        <f xml:space="preserve"> K269 * L269</f>
        <v>30</v>
      </c>
      <c r="N269" s="16">
        <f>M269 * $Q$3</f>
        <v>0.44999999999999996</v>
      </c>
      <c r="O269" s="16">
        <f>M269 * $Q$4</f>
        <v>0.6</v>
      </c>
    </row>
    <row r="270" spans="1:15">
      <c r="A270" s="2">
        <v>269</v>
      </c>
      <c r="B270" s="4">
        <f>DAY(E270)</f>
        <v>1</v>
      </c>
      <c r="C270" s="4">
        <f>MONTH(E270)</f>
        <v>2</v>
      </c>
      <c r="D270" s="4">
        <f>YEAR(E270)</f>
        <v>2023</v>
      </c>
      <c r="E270" s="3">
        <v>44958</v>
      </c>
      <c r="F270" s="4" t="s">
        <v>300</v>
      </c>
      <c r="G270" s="4" t="s">
        <v>8</v>
      </c>
      <c r="H270" s="4">
        <v>25</v>
      </c>
      <c r="I270" s="4" t="str" cm="1">
        <f t="array" ref="I270">_xlfn.IFS(H270&lt;30, "Young Adult", H270&lt;50, "Adult", H270&gt;=50, "Senior")</f>
        <v>Young Adult</v>
      </c>
      <c r="J270" s="4" t="s">
        <v>3</v>
      </c>
      <c r="K270" s="4">
        <v>4</v>
      </c>
      <c r="L270" s="16">
        <v>500</v>
      </c>
      <c r="M270" s="16">
        <f xml:space="preserve"> K270 * L270</f>
        <v>2000</v>
      </c>
      <c r="N270" s="16">
        <f>M270 * $Q$3</f>
        <v>30</v>
      </c>
      <c r="O270" s="16">
        <f>M270 * $Q$4</f>
        <v>40</v>
      </c>
    </row>
    <row r="271" spans="1:15">
      <c r="A271" s="2">
        <v>270</v>
      </c>
      <c r="B271" s="4">
        <f>DAY(E271)</f>
        <v>26</v>
      </c>
      <c r="C271" s="4">
        <f>MONTH(E271)</f>
        <v>7</v>
      </c>
      <c r="D271" s="4">
        <f>YEAR(E271)</f>
        <v>2023</v>
      </c>
      <c r="E271" s="3">
        <v>45133</v>
      </c>
      <c r="F271" s="4" t="s">
        <v>301</v>
      </c>
      <c r="G271" s="4" t="s">
        <v>8</v>
      </c>
      <c r="H271" s="4">
        <v>43</v>
      </c>
      <c r="I271" s="4" t="str" cm="1">
        <f t="array" ref="I271">_xlfn.IFS(H271&lt;30, "Young Adult", H271&lt;50, "Adult", H271&gt;=50, "Senior")</f>
        <v>Adult</v>
      </c>
      <c r="J271" s="4" t="s">
        <v>4</v>
      </c>
      <c r="K271" s="4">
        <v>1</v>
      </c>
      <c r="L271" s="16">
        <v>300</v>
      </c>
      <c r="M271" s="16">
        <f xml:space="preserve"> K271 * L271</f>
        <v>300</v>
      </c>
      <c r="N271" s="16">
        <f>M271 * $Q$3</f>
        <v>4.5</v>
      </c>
      <c r="O271" s="16">
        <f>M271 * $Q$4</f>
        <v>6</v>
      </c>
    </row>
    <row r="272" spans="1:15">
      <c r="A272" s="2">
        <v>271</v>
      </c>
      <c r="B272" s="4">
        <f>DAY(E272)</f>
        <v>23</v>
      </c>
      <c r="C272" s="4">
        <f>MONTH(E272)</f>
        <v>6</v>
      </c>
      <c r="D272" s="4">
        <f>YEAR(E272)</f>
        <v>2023</v>
      </c>
      <c r="E272" s="3">
        <v>45100</v>
      </c>
      <c r="F272" s="4" t="s">
        <v>302</v>
      </c>
      <c r="G272" s="4" t="s">
        <v>7</v>
      </c>
      <c r="H272" s="4">
        <v>62</v>
      </c>
      <c r="I272" s="4" t="str" cm="1">
        <f t="array" ref="I272">_xlfn.IFS(H272&lt;30, "Young Adult", H272&lt;50, "Adult", H272&gt;=50, "Senior")</f>
        <v>Senior</v>
      </c>
      <c r="J272" s="4" t="s">
        <v>2</v>
      </c>
      <c r="K272" s="4">
        <v>4</v>
      </c>
      <c r="L272" s="16">
        <v>30</v>
      </c>
      <c r="M272" s="16">
        <f xml:space="preserve"> K272 * L272</f>
        <v>120</v>
      </c>
      <c r="N272" s="16">
        <f>M272 * $Q$3</f>
        <v>1.7999999999999998</v>
      </c>
      <c r="O272" s="16">
        <f>M272 * $Q$4</f>
        <v>2.4</v>
      </c>
    </row>
    <row r="273" spans="1:15">
      <c r="A273" s="2">
        <v>272</v>
      </c>
      <c r="B273" s="4">
        <f>DAY(E273)</f>
        <v>25</v>
      </c>
      <c r="C273" s="4">
        <f>MONTH(E273)</f>
        <v>2</v>
      </c>
      <c r="D273" s="4">
        <f>YEAR(E273)</f>
        <v>2023</v>
      </c>
      <c r="E273" s="3">
        <v>44982</v>
      </c>
      <c r="F273" s="4" t="s">
        <v>303</v>
      </c>
      <c r="G273" s="4" t="s">
        <v>7</v>
      </c>
      <c r="H273" s="4">
        <v>61</v>
      </c>
      <c r="I273" s="4" t="str" cm="1">
        <f t="array" ref="I273">_xlfn.IFS(H273&lt;30, "Young Adult", H273&lt;50, "Adult", H273&gt;=50, "Senior")</f>
        <v>Senior</v>
      </c>
      <c r="J273" s="4" t="s">
        <v>4</v>
      </c>
      <c r="K273" s="4">
        <v>2</v>
      </c>
      <c r="L273" s="16">
        <v>50</v>
      </c>
      <c r="M273" s="16">
        <f xml:space="preserve"> K273 * L273</f>
        <v>100</v>
      </c>
      <c r="N273" s="16">
        <f>M273 * $Q$3</f>
        <v>1.5</v>
      </c>
      <c r="O273" s="16">
        <f>M273 * $Q$4</f>
        <v>2</v>
      </c>
    </row>
    <row r="274" spans="1:15">
      <c r="A274" s="2">
        <v>273</v>
      </c>
      <c r="B274" s="4">
        <f>DAY(E274)</f>
        <v>8</v>
      </c>
      <c r="C274" s="4">
        <f>MONTH(E274)</f>
        <v>5</v>
      </c>
      <c r="D274" s="4">
        <f>YEAR(E274)</f>
        <v>2023</v>
      </c>
      <c r="E274" s="3">
        <v>45054</v>
      </c>
      <c r="F274" s="4" t="s">
        <v>304</v>
      </c>
      <c r="G274" s="4" t="s">
        <v>7</v>
      </c>
      <c r="H274" s="4">
        <v>22</v>
      </c>
      <c r="I274" s="4" t="str" cm="1">
        <f t="array" ref="I274">_xlfn.IFS(H274&lt;30, "Young Adult", H274&lt;50, "Adult", H274&gt;=50, "Senior")</f>
        <v>Young Adult</v>
      </c>
      <c r="J274" s="4" t="s">
        <v>2</v>
      </c>
      <c r="K274" s="4">
        <v>1</v>
      </c>
      <c r="L274" s="16">
        <v>50</v>
      </c>
      <c r="M274" s="16">
        <f xml:space="preserve"> K274 * L274</f>
        <v>50</v>
      </c>
      <c r="N274" s="16">
        <f>M274 * $Q$3</f>
        <v>0.75</v>
      </c>
      <c r="O274" s="16">
        <f>M274 * $Q$4</f>
        <v>1</v>
      </c>
    </row>
    <row r="275" spans="1:15">
      <c r="A275" s="2">
        <v>274</v>
      </c>
      <c r="B275" s="4">
        <f>DAY(E275)</f>
        <v>9</v>
      </c>
      <c r="C275" s="4">
        <f>MONTH(E275)</f>
        <v>4</v>
      </c>
      <c r="D275" s="4">
        <f>YEAR(E275)</f>
        <v>2023</v>
      </c>
      <c r="E275" s="3">
        <v>45025</v>
      </c>
      <c r="F275" s="4" t="s">
        <v>305</v>
      </c>
      <c r="G275" s="4" t="s">
        <v>7</v>
      </c>
      <c r="H275" s="4">
        <v>23</v>
      </c>
      <c r="I275" s="4" t="str" cm="1">
        <f t="array" ref="I275">_xlfn.IFS(H275&lt;30, "Young Adult", H275&lt;50, "Adult", H275&gt;=50, "Senior")</f>
        <v>Young Adult</v>
      </c>
      <c r="J275" s="4" t="s">
        <v>3</v>
      </c>
      <c r="K275" s="4">
        <v>2</v>
      </c>
      <c r="L275" s="16">
        <v>500</v>
      </c>
      <c r="M275" s="16">
        <f xml:space="preserve"> K275 * L275</f>
        <v>1000</v>
      </c>
      <c r="N275" s="16">
        <f>M275 * $Q$3</f>
        <v>15</v>
      </c>
      <c r="O275" s="16">
        <f>M275 * $Q$4</f>
        <v>20</v>
      </c>
    </row>
    <row r="276" spans="1:15">
      <c r="A276" s="2">
        <v>275</v>
      </c>
      <c r="B276" s="4">
        <f>DAY(E276)</f>
        <v>8</v>
      </c>
      <c r="C276" s="4">
        <f>MONTH(E276)</f>
        <v>4</v>
      </c>
      <c r="D276" s="4">
        <f>YEAR(E276)</f>
        <v>2023</v>
      </c>
      <c r="E276" s="3">
        <v>45024</v>
      </c>
      <c r="F276" s="4" t="s">
        <v>306</v>
      </c>
      <c r="G276" s="4" t="s">
        <v>8</v>
      </c>
      <c r="H276" s="4">
        <v>43</v>
      </c>
      <c r="I276" s="4" t="str" cm="1">
        <f t="array" ref="I276">_xlfn.IFS(H276&lt;30, "Young Adult", H276&lt;50, "Adult", H276&gt;=50, "Senior")</f>
        <v>Adult</v>
      </c>
      <c r="J276" s="4" t="s">
        <v>3</v>
      </c>
      <c r="K276" s="4">
        <v>2</v>
      </c>
      <c r="L276" s="16">
        <v>500</v>
      </c>
      <c r="M276" s="16">
        <f xml:space="preserve"> K276 * L276</f>
        <v>1000</v>
      </c>
      <c r="N276" s="16">
        <f>M276 * $Q$3</f>
        <v>15</v>
      </c>
      <c r="O276" s="16">
        <f>M276 * $Q$4</f>
        <v>20</v>
      </c>
    </row>
    <row r="277" spans="1:15">
      <c r="A277" s="2">
        <v>276</v>
      </c>
      <c r="B277" s="4">
        <f>DAY(E277)</f>
        <v>2</v>
      </c>
      <c r="C277" s="4">
        <f>MONTH(E277)</f>
        <v>10</v>
      </c>
      <c r="D277" s="4">
        <f>YEAR(E277)</f>
        <v>2023</v>
      </c>
      <c r="E277" s="3">
        <v>45201</v>
      </c>
      <c r="F277" s="4" t="s">
        <v>307</v>
      </c>
      <c r="G277" s="4" t="s">
        <v>7</v>
      </c>
      <c r="H277" s="4">
        <v>21</v>
      </c>
      <c r="I277" s="4" t="str" cm="1">
        <f t="array" ref="I277">_xlfn.IFS(H277&lt;30, "Young Adult", H277&lt;50, "Adult", H277&gt;=50, "Senior")</f>
        <v>Young Adult</v>
      </c>
      <c r="J277" s="4" t="s">
        <v>2</v>
      </c>
      <c r="K277" s="4">
        <v>4</v>
      </c>
      <c r="L277" s="16">
        <v>25</v>
      </c>
      <c r="M277" s="16">
        <f xml:space="preserve"> K277 * L277</f>
        <v>100</v>
      </c>
      <c r="N277" s="16">
        <f>M277 * $Q$3</f>
        <v>1.5</v>
      </c>
      <c r="O277" s="16">
        <f>M277 * $Q$4</f>
        <v>2</v>
      </c>
    </row>
    <row r="278" spans="1:15">
      <c r="A278" s="2">
        <v>277</v>
      </c>
      <c r="B278" s="4">
        <f>DAY(E278)</f>
        <v>18</v>
      </c>
      <c r="C278" s="4">
        <f>MONTH(E278)</f>
        <v>8</v>
      </c>
      <c r="D278" s="4">
        <f>YEAR(E278)</f>
        <v>2023</v>
      </c>
      <c r="E278" s="3">
        <v>45156</v>
      </c>
      <c r="F278" s="4" t="s">
        <v>308</v>
      </c>
      <c r="G278" s="4" t="s">
        <v>8</v>
      </c>
      <c r="H278" s="4">
        <v>36</v>
      </c>
      <c r="I278" s="4" t="str" cm="1">
        <f t="array" ref="I278">_xlfn.IFS(H278&lt;30, "Young Adult", H278&lt;50, "Adult", H278&gt;=50, "Senior")</f>
        <v>Adult</v>
      </c>
      <c r="J278" s="4" t="s">
        <v>3</v>
      </c>
      <c r="K278" s="4">
        <v>4</v>
      </c>
      <c r="L278" s="16">
        <v>25</v>
      </c>
      <c r="M278" s="16">
        <f xml:space="preserve"> K278 * L278</f>
        <v>100</v>
      </c>
      <c r="N278" s="16">
        <f>M278 * $Q$3</f>
        <v>1.5</v>
      </c>
      <c r="O278" s="16">
        <f>M278 * $Q$4</f>
        <v>2</v>
      </c>
    </row>
    <row r="279" spans="1:15">
      <c r="A279" s="2">
        <v>278</v>
      </c>
      <c r="B279" s="4">
        <f>DAY(E279)</f>
        <v>13</v>
      </c>
      <c r="C279" s="4">
        <f>MONTH(E279)</f>
        <v>3</v>
      </c>
      <c r="D279" s="4">
        <f>YEAR(E279)</f>
        <v>2023</v>
      </c>
      <c r="E279" s="3">
        <v>44998</v>
      </c>
      <c r="F279" s="4" t="s">
        <v>309</v>
      </c>
      <c r="G279" s="4" t="s">
        <v>7</v>
      </c>
      <c r="H279" s="4">
        <v>37</v>
      </c>
      <c r="I279" s="4" t="str" cm="1">
        <f t="array" ref="I279">_xlfn.IFS(H279&lt;30, "Young Adult", H279&lt;50, "Adult", H279&gt;=50, "Senior")</f>
        <v>Adult</v>
      </c>
      <c r="J279" s="4" t="s">
        <v>3</v>
      </c>
      <c r="K279" s="4">
        <v>4</v>
      </c>
      <c r="L279" s="16">
        <v>25</v>
      </c>
      <c r="M279" s="16">
        <f xml:space="preserve"> K279 * L279</f>
        <v>100</v>
      </c>
      <c r="N279" s="16">
        <f>M279 * $Q$3</f>
        <v>1.5</v>
      </c>
      <c r="O279" s="16">
        <f>M279 * $Q$4</f>
        <v>2</v>
      </c>
    </row>
    <row r="280" spans="1:15">
      <c r="A280" s="2">
        <v>279</v>
      </c>
      <c r="B280" s="4">
        <f>DAY(E280)</f>
        <v>5</v>
      </c>
      <c r="C280" s="4">
        <f>MONTH(E280)</f>
        <v>8</v>
      </c>
      <c r="D280" s="4">
        <f>YEAR(E280)</f>
        <v>2023</v>
      </c>
      <c r="E280" s="3">
        <v>45143</v>
      </c>
      <c r="F280" s="4" t="s">
        <v>310</v>
      </c>
      <c r="G280" s="4" t="s">
        <v>8</v>
      </c>
      <c r="H280" s="4">
        <v>50</v>
      </c>
      <c r="I280" s="4" t="str" cm="1">
        <f t="array" ref="I280">_xlfn.IFS(H280&lt;30, "Young Adult", H280&lt;50, "Adult", H280&gt;=50, "Senior")</f>
        <v>Senior</v>
      </c>
      <c r="J280" s="4" t="s">
        <v>3</v>
      </c>
      <c r="K280" s="4">
        <v>1</v>
      </c>
      <c r="L280" s="16">
        <v>500</v>
      </c>
      <c r="M280" s="16">
        <f xml:space="preserve"> K280 * L280</f>
        <v>500</v>
      </c>
      <c r="N280" s="16">
        <f>M280 * $Q$3</f>
        <v>7.5</v>
      </c>
      <c r="O280" s="16">
        <f>M280 * $Q$4</f>
        <v>10</v>
      </c>
    </row>
    <row r="281" spans="1:15">
      <c r="A281" s="2">
        <v>280</v>
      </c>
      <c r="B281" s="4">
        <f>DAY(E281)</f>
        <v>4</v>
      </c>
      <c r="C281" s="4">
        <f>MONTH(E281)</f>
        <v>4</v>
      </c>
      <c r="D281" s="4">
        <f>YEAR(E281)</f>
        <v>2023</v>
      </c>
      <c r="E281" s="3">
        <v>45020</v>
      </c>
      <c r="F281" s="4" t="s">
        <v>311</v>
      </c>
      <c r="G281" s="4" t="s">
        <v>7</v>
      </c>
      <c r="H281" s="4">
        <v>37</v>
      </c>
      <c r="I281" s="4" t="str" cm="1">
        <f t="array" ref="I281">_xlfn.IFS(H281&lt;30, "Young Adult", H281&lt;50, "Adult", H281&gt;=50, "Senior")</f>
        <v>Adult</v>
      </c>
      <c r="J281" s="4" t="s">
        <v>3</v>
      </c>
      <c r="K281" s="4">
        <v>3</v>
      </c>
      <c r="L281" s="16">
        <v>500</v>
      </c>
      <c r="M281" s="16">
        <f xml:space="preserve"> K281 * L281</f>
        <v>1500</v>
      </c>
      <c r="N281" s="16">
        <f>M281 * $Q$3</f>
        <v>22.5</v>
      </c>
      <c r="O281" s="16">
        <f>M281 * $Q$4</f>
        <v>30</v>
      </c>
    </row>
    <row r="282" spans="1:15">
      <c r="A282" s="2">
        <v>281</v>
      </c>
      <c r="B282" s="4">
        <f>DAY(E282)</f>
        <v>23</v>
      </c>
      <c r="C282" s="4">
        <f>MONTH(E282)</f>
        <v>5</v>
      </c>
      <c r="D282" s="4">
        <f>YEAR(E282)</f>
        <v>2023</v>
      </c>
      <c r="E282" s="3">
        <v>45069</v>
      </c>
      <c r="F282" s="4" t="s">
        <v>312</v>
      </c>
      <c r="G282" s="4" t="s">
        <v>7</v>
      </c>
      <c r="H282" s="4">
        <v>29</v>
      </c>
      <c r="I282" s="4" t="str" cm="1">
        <f t="array" ref="I282">_xlfn.IFS(H282&lt;30, "Young Adult", H282&lt;50, "Adult", H282&gt;=50, "Senior")</f>
        <v>Young Adult</v>
      </c>
      <c r="J282" s="4" t="s">
        <v>2</v>
      </c>
      <c r="K282" s="4">
        <v>4</v>
      </c>
      <c r="L282" s="16">
        <v>500</v>
      </c>
      <c r="M282" s="16">
        <f xml:space="preserve"> K282 * L282</f>
        <v>2000</v>
      </c>
      <c r="N282" s="16">
        <f>M282 * $Q$3</f>
        <v>30</v>
      </c>
      <c r="O282" s="16">
        <f>M282 * $Q$4</f>
        <v>40</v>
      </c>
    </row>
    <row r="283" spans="1:15">
      <c r="A283" s="2">
        <v>282</v>
      </c>
      <c r="B283" s="4">
        <f>DAY(E283)</f>
        <v>25</v>
      </c>
      <c r="C283" s="4">
        <f>MONTH(E283)</f>
        <v>8</v>
      </c>
      <c r="D283" s="4">
        <f>YEAR(E283)</f>
        <v>2023</v>
      </c>
      <c r="E283" s="3">
        <v>45163</v>
      </c>
      <c r="F283" s="4" t="s">
        <v>313</v>
      </c>
      <c r="G283" s="4" t="s">
        <v>7</v>
      </c>
      <c r="H283" s="4">
        <v>64</v>
      </c>
      <c r="I283" s="4" t="str" cm="1">
        <f t="array" ref="I283">_xlfn.IFS(H283&lt;30, "Young Adult", H283&lt;50, "Adult", H283&gt;=50, "Senior")</f>
        <v>Senior</v>
      </c>
      <c r="J283" s="4" t="s">
        <v>4</v>
      </c>
      <c r="K283" s="4">
        <v>4</v>
      </c>
      <c r="L283" s="16">
        <v>50</v>
      </c>
      <c r="M283" s="16">
        <f xml:space="preserve"> K283 * L283</f>
        <v>200</v>
      </c>
      <c r="N283" s="16">
        <f>M283 * $Q$3</f>
        <v>3</v>
      </c>
      <c r="O283" s="16">
        <f>M283 * $Q$4</f>
        <v>4</v>
      </c>
    </row>
    <row r="284" spans="1:15">
      <c r="A284" s="2">
        <v>283</v>
      </c>
      <c r="B284" s="4">
        <f>DAY(E284)</f>
        <v>8</v>
      </c>
      <c r="C284" s="4">
        <f>MONTH(E284)</f>
        <v>5</v>
      </c>
      <c r="D284" s="4">
        <f>YEAR(E284)</f>
        <v>2023</v>
      </c>
      <c r="E284" s="3">
        <v>45054</v>
      </c>
      <c r="F284" s="4" t="s">
        <v>314</v>
      </c>
      <c r="G284" s="4" t="s">
        <v>7</v>
      </c>
      <c r="H284" s="4">
        <v>18</v>
      </c>
      <c r="I284" s="4" t="str" cm="1">
        <f t="array" ref="I284">_xlfn.IFS(H284&lt;30, "Young Adult", H284&lt;50, "Adult", H284&gt;=50, "Senior")</f>
        <v>Young Adult</v>
      </c>
      <c r="J284" s="4" t="s">
        <v>4</v>
      </c>
      <c r="K284" s="4">
        <v>1</v>
      </c>
      <c r="L284" s="16">
        <v>500</v>
      </c>
      <c r="M284" s="16">
        <f xml:space="preserve"> K284 * L284</f>
        <v>500</v>
      </c>
      <c r="N284" s="16">
        <f>M284 * $Q$3</f>
        <v>7.5</v>
      </c>
      <c r="O284" s="16">
        <f>M284 * $Q$4</f>
        <v>10</v>
      </c>
    </row>
    <row r="285" spans="1:15">
      <c r="A285" s="2">
        <v>284</v>
      </c>
      <c r="B285" s="4">
        <f>DAY(E285)</f>
        <v>8</v>
      </c>
      <c r="C285" s="4">
        <f>MONTH(E285)</f>
        <v>2</v>
      </c>
      <c r="D285" s="4">
        <f>YEAR(E285)</f>
        <v>2023</v>
      </c>
      <c r="E285" s="3">
        <v>44965</v>
      </c>
      <c r="F285" s="4" t="s">
        <v>315</v>
      </c>
      <c r="G285" s="4" t="s">
        <v>8</v>
      </c>
      <c r="H285" s="4">
        <v>43</v>
      </c>
      <c r="I285" s="4" t="str" cm="1">
        <f t="array" ref="I285">_xlfn.IFS(H285&lt;30, "Young Adult", H285&lt;50, "Adult", H285&gt;=50, "Senior")</f>
        <v>Adult</v>
      </c>
      <c r="J285" s="4" t="s">
        <v>3</v>
      </c>
      <c r="K285" s="4">
        <v>4</v>
      </c>
      <c r="L285" s="16">
        <v>50</v>
      </c>
      <c r="M285" s="16">
        <f xml:space="preserve"> K285 * L285</f>
        <v>200</v>
      </c>
      <c r="N285" s="16">
        <f>M285 * $Q$3</f>
        <v>3</v>
      </c>
      <c r="O285" s="16">
        <f>M285 * $Q$4</f>
        <v>4</v>
      </c>
    </row>
    <row r="286" spans="1:15">
      <c r="A286" s="2">
        <v>285</v>
      </c>
      <c r="B286" s="4">
        <f>DAY(E286)</f>
        <v>15</v>
      </c>
      <c r="C286" s="4">
        <f>MONTH(E286)</f>
        <v>8</v>
      </c>
      <c r="D286" s="4">
        <f>YEAR(E286)</f>
        <v>2023</v>
      </c>
      <c r="E286" s="3">
        <v>45153</v>
      </c>
      <c r="F286" s="4" t="s">
        <v>316</v>
      </c>
      <c r="G286" s="4" t="s">
        <v>7</v>
      </c>
      <c r="H286" s="4">
        <v>31</v>
      </c>
      <c r="I286" s="4" t="str" cm="1">
        <f t="array" ref="I286">_xlfn.IFS(H286&lt;30, "Young Adult", H286&lt;50, "Adult", H286&gt;=50, "Senior")</f>
        <v>Adult</v>
      </c>
      <c r="J286" s="4" t="s">
        <v>4</v>
      </c>
      <c r="K286" s="4">
        <v>1</v>
      </c>
      <c r="L286" s="16">
        <v>25</v>
      </c>
      <c r="M286" s="16">
        <f xml:space="preserve"> K286 * L286</f>
        <v>25</v>
      </c>
      <c r="N286" s="16">
        <f>M286 * $Q$3</f>
        <v>0.375</v>
      </c>
      <c r="O286" s="16">
        <f>M286 * $Q$4</f>
        <v>0.5</v>
      </c>
    </row>
    <row r="287" spans="1:15">
      <c r="A287" s="2">
        <v>286</v>
      </c>
      <c r="B287" s="4">
        <f>DAY(E287)</f>
        <v>9</v>
      </c>
      <c r="C287" s="4">
        <f>MONTH(E287)</f>
        <v>10</v>
      </c>
      <c r="D287" s="4">
        <f>YEAR(E287)</f>
        <v>2023</v>
      </c>
      <c r="E287" s="3">
        <v>45208</v>
      </c>
      <c r="F287" s="4" t="s">
        <v>317</v>
      </c>
      <c r="G287" s="4" t="s">
        <v>8</v>
      </c>
      <c r="H287" s="4">
        <v>55</v>
      </c>
      <c r="I287" s="4" t="str" cm="1">
        <f t="array" ref="I287">_xlfn.IFS(H287&lt;30, "Young Adult", H287&lt;50, "Adult", H287&gt;=50, "Senior")</f>
        <v>Senior</v>
      </c>
      <c r="J287" s="4" t="s">
        <v>4</v>
      </c>
      <c r="K287" s="4">
        <v>2</v>
      </c>
      <c r="L287" s="16">
        <v>25</v>
      </c>
      <c r="M287" s="16">
        <f xml:space="preserve"> K287 * L287</f>
        <v>50</v>
      </c>
      <c r="N287" s="16">
        <f>M287 * $Q$3</f>
        <v>0.75</v>
      </c>
      <c r="O287" s="16">
        <f>M287 * $Q$4</f>
        <v>1</v>
      </c>
    </row>
    <row r="288" spans="1:15">
      <c r="A288" s="2">
        <v>287</v>
      </c>
      <c r="B288" s="4">
        <f>DAY(E288)</f>
        <v>20</v>
      </c>
      <c r="C288" s="4">
        <f>MONTH(E288)</f>
        <v>2</v>
      </c>
      <c r="D288" s="4">
        <f>YEAR(E288)</f>
        <v>2023</v>
      </c>
      <c r="E288" s="3">
        <v>44977</v>
      </c>
      <c r="F288" s="4" t="s">
        <v>318</v>
      </c>
      <c r="G288" s="4" t="s">
        <v>8</v>
      </c>
      <c r="H288" s="4">
        <v>54</v>
      </c>
      <c r="I288" s="4" t="str" cm="1">
        <f t="array" ref="I288">_xlfn.IFS(H288&lt;30, "Young Adult", H288&lt;50, "Adult", H288&gt;=50, "Senior")</f>
        <v>Senior</v>
      </c>
      <c r="J288" s="4" t="s">
        <v>3</v>
      </c>
      <c r="K288" s="4">
        <v>4</v>
      </c>
      <c r="L288" s="16">
        <v>25</v>
      </c>
      <c r="M288" s="16">
        <f xml:space="preserve"> K288 * L288</f>
        <v>100</v>
      </c>
      <c r="N288" s="16">
        <f>M288 * $Q$3</f>
        <v>1.5</v>
      </c>
      <c r="O288" s="16">
        <f>M288 * $Q$4</f>
        <v>2</v>
      </c>
    </row>
    <row r="289" spans="1:15">
      <c r="A289" s="2">
        <v>288</v>
      </c>
      <c r="B289" s="4">
        <f>DAY(E289)</f>
        <v>26</v>
      </c>
      <c r="C289" s="4">
        <f>MONTH(E289)</f>
        <v>1</v>
      </c>
      <c r="D289" s="4">
        <f>YEAR(E289)</f>
        <v>2023</v>
      </c>
      <c r="E289" s="3">
        <v>44952</v>
      </c>
      <c r="F289" s="4" t="s">
        <v>319</v>
      </c>
      <c r="G289" s="4" t="s">
        <v>8</v>
      </c>
      <c r="H289" s="4">
        <v>28</v>
      </c>
      <c r="I289" s="4" t="str" cm="1">
        <f t="array" ref="I289">_xlfn.IFS(H289&lt;30, "Young Adult", H289&lt;50, "Adult", H289&gt;=50, "Senior")</f>
        <v>Young Adult</v>
      </c>
      <c r="J289" s="4" t="s">
        <v>3</v>
      </c>
      <c r="K289" s="4">
        <v>4</v>
      </c>
      <c r="L289" s="16">
        <v>30</v>
      </c>
      <c r="M289" s="16">
        <f xml:space="preserve"> K289 * L289</f>
        <v>120</v>
      </c>
      <c r="N289" s="16">
        <f>M289 * $Q$3</f>
        <v>1.7999999999999998</v>
      </c>
      <c r="O289" s="16">
        <f>M289 * $Q$4</f>
        <v>2.4</v>
      </c>
    </row>
    <row r="290" spans="1:15">
      <c r="A290" s="2">
        <v>289</v>
      </c>
      <c r="B290" s="4">
        <f>DAY(E290)</f>
        <v>30</v>
      </c>
      <c r="C290" s="4">
        <f>MONTH(E290)</f>
        <v>11</v>
      </c>
      <c r="D290" s="4">
        <f>YEAR(E290)</f>
        <v>2023</v>
      </c>
      <c r="E290" s="3">
        <v>45260</v>
      </c>
      <c r="F290" s="4" t="s">
        <v>320</v>
      </c>
      <c r="G290" s="4" t="s">
        <v>8</v>
      </c>
      <c r="H290" s="4">
        <v>53</v>
      </c>
      <c r="I290" s="4" t="str" cm="1">
        <f t="array" ref="I290">_xlfn.IFS(H290&lt;30, "Young Adult", H290&lt;50, "Adult", H290&gt;=50, "Senior")</f>
        <v>Senior</v>
      </c>
      <c r="J290" s="4" t="s">
        <v>4</v>
      </c>
      <c r="K290" s="4">
        <v>2</v>
      </c>
      <c r="L290" s="16">
        <v>30</v>
      </c>
      <c r="M290" s="16">
        <f xml:space="preserve"> K290 * L290</f>
        <v>60</v>
      </c>
      <c r="N290" s="16">
        <f>M290 * $Q$3</f>
        <v>0.89999999999999991</v>
      </c>
      <c r="O290" s="16">
        <f>M290 * $Q$4</f>
        <v>1.2</v>
      </c>
    </row>
    <row r="291" spans="1:15">
      <c r="A291" s="2">
        <v>290</v>
      </c>
      <c r="B291" s="4">
        <f>DAY(E291)</f>
        <v>4</v>
      </c>
      <c r="C291" s="4">
        <f>MONTH(E291)</f>
        <v>10</v>
      </c>
      <c r="D291" s="4">
        <f>YEAR(E291)</f>
        <v>2023</v>
      </c>
      <c r="E291" s="3">
        <v>45203</v>
      </c>
      <c r="F291" s="4" t="s">
        <v>321</v>
      </c>
      <c r="G291" s="4" t="s">
        <v>7</v>
      </c>
      <c r="H291" s="4">
        <v>30</v>
      </c>
      <c r="I291" s="4" t="str" cm="1">
        <f t="array" ref="I291">_xlfn.IFS(H291&lt;30, "Young Adult", H291&lt;50, "Adult", H291&gt;=50, "Senior")</f>
        <v>Adult</v>
      </c>
      <c r="J291" s="4" t="s">
        <v>2</v>
      </c>
      <c r="K291" s="4">
        <v>2</v>
      </c>
      <c r="L291" s="16">
        <v>300</v>
      </c>
      <c r="M291" s="16">
        <f xml:space="preserve"> K291 * L291</f>
        <v>600</v>
      </c>
      <c r="N291" s="16">
        <f>M291 * $Q$3</f>
        <v>9</v>
      </c>
      <c r="O291" s="16">
        <f>M291 * $Q$4</f>
        <v>12</v>
      </c>
    </row>
    <row r="292" spans="1:15">
      <c r="A292" s="2">
        <v>291</v>
      </c>
      <c r="B292" s="4">
        <f>DAY(E292)</f>
        <v>8</v>
      </c>
      <c r="C292" s="4">
        <f>MONTH(E292)</f>
        <v>1</v>
      </c>
      <c r="D292" s="4">
        <f>YEAR(E292)</f>
        <v>2023</v>
      </c>
      <c r="E292" s="3">
        <v>44934</v>
      </c>
      <c r="F292" s="4" t="s">
        <v>322</v>
      </c>
      <c r="G292" s="4" t="s">
        <v>8</v>
      </c>
      <c r="H292" s="4">
        <v>60</v>
      </c>
      <c r="I292" s="4" t="str" cm="1">
        <f t="array" ref="I292">_xlfn.IFS(H292&lt;30, "Young Adult", H292&lt;50, "Adult", H292&gt;=50, "Senior")</f>
        <v>Senior</v>
      </c>
      <c r="J292" s="4" t="s">
        <v>3</v>
      </c>
      <c r="K292" s="4">
        <v>2</v>
      </c>
      <c r="L292" s="16">
        <v>300</v>
      </c>
      <c r="M292" s="16">
        <f xml:space="preserve"> K292 * L292</f>
        <v>600</v>
      </c>
      <c r="N292" s="16">
        <f>M292 * $Q$3</f>
        <v>9</v>
      </c>
      <c r="O292" s="16">
        <f>M292 * $Q$4</f>
        <v>12</v>
      </c>
    </row>
    <row r="293" spans="1:15">
      <c r="A293" s="2">
        <v>292</v>
      </c>
      <c r="B293" s="4">
        <f>DAY(E293)</f>
        <v>17</v>
      </c>
      <c r="C293" s="4">
        <f>MONTH(E293)</f>
        <v>2</v>
      </c>
      <c r="D293" s="4">
        <f>YEAR(E293)</f>
        <v>2023</v>
      </c>
      <c r="E293" s="3">
        <v>44974</v>
      </c>
      <c r="F293" s="4" t="s">
        <v>323</v>
      </c>
      <c r="G293" s="4" t="s">
        <v>8</v>
      </c>
      <c r="H293" s="4">
        <v>20</v>
      </c>
      <c r="I293" s="4" t="str" cm="1">
        <f t="array" ref="I293">_xlfn.IFS(H293&lt;30, "Young Adult", H293&lt;50, "Adult", H293&gt;=50, "Senior")</f>
        <v>Young Adult</v>
      </c>
      <c r="J293" s="4" t="s">
        <v>2</v>
      </c>
      <c r="K293" s="4">
        <v>4</v>
      </c>
      <c r="L293" s="16">
        <v>300</v>
      </c>
      <c r="M293" s="16">
        <f xml:space="preserve"> K293 * L293</f>
        <v>1200</v>
      </c>
      <c r="N293" s="16">
        <f>M293 * $Q$3</f>
        <v>18</v>
      </c>
      <c r="O293" s="16">
        <f>M293 * $Q$4</f>
        <v>24</v>
      </c>
    </row>
    <row r="294" spans="1:15">
      <c r="A294" s="2">
        <v>293</v>
      </c>
      <c r="B294" s="4">
        <f>DAY(E294)</f>
        <v>2</v>
      </c>
      <c r="C294" s="4">
        <f>MONTH(E294)</f>
        <v>5</v>
      </c>
      <c r="D294" s="4">
        <f>YEAR(E294)</f>
        <v>2023</v>
      </c>
      <c r="E294" s="3">
        <v>45048</v>
      </c>
      <c r="F294" s="4" t="s">
        <v>324</v>
      </c>
      <c r="G294" s="4" t="s">
        <v>8</v>
      </c>
      <c r="H294" s="4">
        <v>50</v>
      </c>
      <c r="I294" s="4" t="str" cm="1">
        <f t="array" ref="I294">_xlfn.IFS(H294&lt;30, "Young Adult", H294&lt;50, "Adult", H294&gt;=50, "Senior")</f>
        <v>Senior</v>
      </c>
      <c r="J294" s="4" t="s">
        <v>4</v>
      </c>
      <c r="K294" s="4">
        <v>3</v>
      </c>
      <c r="L294" s="16">
        <v>30</v>
      </c>
      <c r="M294" s="16">
        <f xml:space="preserve"> K294 * L294</f>
        <v>90</v>
      </c>
      <c r="N294" s="16">
        <f>M294 * $Q$3</f>
        <v>1.3499999999999999</v>
      </c>
      <c r="O294" s="16">
        <f>M294 * $Q$4</f>
        <v>1.8</v>
      </c>
    </row>
    <row r="295" spans="1:15">
      <c r="A295" s="2">
        <v>294</v>
      </c>
      <c r="B295" s="4">
        <f>DAY(E295)</f>
        <v>27</v>
      </c>
      <c r="C295" s="4">
        <f>MONTH(E295)</f>
        <v>3</v>
      </c>
      <c r="D295" s="4">
        <f>YEAR(E295)</f>
        <v>2023</v>
      </c>
      <c r="E295" s="3">
        <v>45012</v>
      </c>
      <c r="F295" s="4" t="s">
        <v>325</v>
      </c>
      <c r="G295" s="4" t="s">
        <v>7</v>
      </c>
      <c r="H295" s="4">
        <v>23</v>
      </c>
      <c r="I295" s="4" t="str" cm="1">
        <f t="array" ref="I295">_xlfn.IFS(H295&lt;30, "Young Adult", H295&lt;50, "Adult", H295&gt;=50, "Senior")</f>
        <v>Young Adult</v>
      </c>
      <c r="J295" s="4" t="s">
        <v>3</v>
      </c>
      <c r="K295" s="4">
        <v>3</v>
      </c>
      <c r="L295" s="16">
        <v>30</v>
      </c>
      <c r="M295" s="16">
        <f xml:space="preserve"> K295 * L295</f>
        <v>90</v>
      </c>
      <c r="N295" s="16">
        <f>M295 * $Q$3</f>
        <v>1.3499999999999999</v>
      </c>
      <c r="O295" s="16">
        <f>M295 * $Q$4</f>
        <v>1.8</v>
      </c>
    </row>
    <row r="296" spans="1:15">
      <c r="A296" s="2">
        <v>295</v>
      </c>
      <c r="B296" s="4">
        <f>DAY(E296)</f>
        <v>28</v>
      </c>
      <c r="C296" s="4">
        <f>MONTH(E296)</f>
        <v>7</v>
      </c>
      <c r="D296" s="4">
        <f>YEAR(E296)</f>
        <v>2023</v>
      </c>
      <c r="E296" s="3">
        <v>45135</v>
      </c>
      <c r="F296" s="4" t="s">
        <v>326</v>
      </c>
      <c r="G296" s="4" t="s">
        <v>7</v>
      </c>
      <c r="H296" s="4">
        <v>27</v>
      </c>
      <c r="I296" s="4" t="str" cm="1">
        <f t="array" ref="I296">_xlfn.IFS(H296&lt;30, "Young Adult", H296&lt;50, "Adult", H296&gt;=50, "Senior")</f>
        <v>Young Adult</v>
      </c>
      <c r="J296" s="4" t="s">
        <v>2</v>
      </c>
      <c r="K296" s="4">
        <v>3</v>
      </c>
      <c r="L296" s="16">
        <v>300</v>
      </c>
      <c r="M296" s="16">
        <f xml:space="preserve"> K296 * L296</f>
        <v>900</v>
      </c>
      <c r="N296" s="16">
        <f>M296 * $Q$3</f>
        <v>13.5</v>
      </c>
      <c r="O296" s="16">
        <f>M296 * $Q$4</f>
        <v>18</v>
      </c>
    </row>
    <row r="297" spans="1:15">
      <c r="A297" s="2">
        <v>296</v>
      </c>
      <c r="B297" s="4">
        <f>DAY(E297)</f>
        <v>6</v>
      </c>
      <c r="C297" s="4">
        <f>MONTH(E297)</f>
        <v>9</v>
      </c>
      <c r="D297" s="4">
        <f>YEAR(E297)</f>
        <v>2023</v>
      </c>
      <c r="E297" s="3">
        <v>45175</v>
      </c>
      <c r="F297" s="4" t="s">
        <v>327</v>
      </c>
      <c r="G297" s="4" t="s">
        <v>7</v>
      </c>
      <c r="H297" s="4">
        <v>22</v>
      </c>
      <c r="I297" s="4" t="str" cm="1">
        <f t="array" ref="I297">_xlfn.IFS(H297&lt;30, "Young Adult", H297&lt;50, "Adult", H297&gt;=50, "Senior")</f>
        <v>Young Adult</v>
      </c>
      <c r="J297" s="4" t="s">
        <v>3</v>
      </c>
      <c r="K297" s="4">
        <v>4</v>
      </c>
      <c r="L297" s="16">
        <v>300</v>
      </c>
      <c r="M297" s="16">
        <f xml:space="preserve"> K297 * L297</f>
        <v>1200</v>
      </c>
      <c r="N297" s="16">
        <f>M297 * $Q$3</f>
        <v>18</v>
      </c>
      <c r="O297" s="16">
        <f>M297 * $Q$4</f>
        <v>24</v>
      </c>
    </row>
    <row r="298" spans="1:15">
      <c r="A298" s="2">
        <v>297</v>
      </c>
      <c r="B298" s="4">
        <f>DAY(E298)</f>
        <v>4</v>
      </c>
      <c r="C298" s="4">
        <f>MONTH(E298)</f>
        <v>9</v>
      </c>
      <c r="D298" s="4">
        <f>YEAR(E298)</f>
        <v>2023</v>
      </c>
      <c r="E298" s="3">
        <v>45173</v>
      </c>
      <c r="F298" s="4" t="s">
        <v>328</v>
      </c>
      <c r="G298" s="4" t="s">
        <v>7</v>
      </c>
      <c r="H298" s="4">
        <v>40</v>
      </c>
      <c r="I298" s="4" t="str" cm="1">
        <f t="array" ref="I298">_xlfn.IFS(H298&lt;30, "Young Adult", H298&lt;50, "Adult", H298&gt;=50, "Senior")</f>
        <v>Adult</v>
      </c>
      <c r="J298" s="4" t="s">
        <v>4</v>
      </c>
      <c r="K298" s="4">
        <v>2</v>
      </c>
      <c r="L298" s="16">
        <v>500</v>
      </c>
      <c r="M298" s="16">
        <f xml:space="preserve"> K298 * L298</f>
        <v>1000</v>
      </c>
      <c r="N298" s="16">
        <f>M298 * $Q$3</f>
        <v>15</v>
      </c>
      <c r="O298" s="16">
        <f>M298 * $Q$4</f>
        <v>20</v>
      </c>
    </row>
    <row r="299" spans="1:15">
      <c r="A299" s="2">
        <v>298</v>
      </c>
      <c r="B299" s="4">
        <f>DAY(E299)</f>
        <v>20</v>
      </c>
      <c r="C299" s="4">
        <f>MONTH(E299)</f>
        <v>4</v>
      </c>
      <c r="D299" s="4">
        <f>YEAR(E299)</f>
        <v>2023</v>
      </c>
      <c r="E299" s="3">
        <v>45036</v>
      </c>
      <c r="F299" s="4" t="s">
        <v>329</v>
      </c>
      <c r="G299" s="4" t="s">
        <v>8</v>
      </c>
      <c r="H299" s="4">
        <v>27</v>
      </c>
      <c r="I299" s="4" t="str" cm="1">
        <f t="array" ref="I299">_xlfn.IFS(H299&lt;30, "Young Adult", H299&lt;50, "Adult", H299&gt;=50, "Senior")</f>
        <v>Young Adult</v>
      </c>
      <c r="J299" s="4" t="s">
        <v>2</v>
      </c>
      <c r="K299" s="4">
        <v>4</v>
      </c>
      <c r="L299" s="16">
        <v>300</v>
      </c>
      <c r="M299" s="16">
        <f xml:space="preserve"> K299 * L299</f>
        <v>1200</v>
      </c>
      <c r="N299" s="16">
        <f>M299 * $Q$3</f>
        <v>18</v>
      </c>
      <c r="O299" s="16">
        <f>M299 * $Q$4</f>
        <v>24</v>
      </c>
    </row>
    <row r="300" spans="1:15">
      <c r="A300" s="2">
        <v>299</v>
      </c>
      <c r="B300" s="4">
        <f>DAY(E300)</f>
        <v>25</v>
      </c>
      <c r="C300" s="4">
        <f>MONTH(E300)</f>
        <v>7</v>
      </c>
      <c r="D300" s="4">
        <f>YEAR(E300)</f>
        <v>2023</v>
      </c>
      <c r="E300" s="3">
        <v>45132</v>
      </c>
      <c r="F300" s="4" t="s">
        <v>330</v>
      </c>
      <c r="G300" s="4" t="s">
        <v>8</v>
      </c>
      <c r="H300" s="4">
        <v>61</v>
      </c>
      <c r="I300" s="4" t="str" cm="1">
        <f t="array" ref="I300">_xlfn.IFS(H300&lt;30, "Young Adult", H300&lt;50, "Adult", H300&gt;=50, "Senior")</f>
        <v>Senior</v>
      </c>
      <c r="J300" s="4" t="s">
        <v>4</v>
      </c>
      <c r="K300" s="4">
        <v>2</v>
      </c>
      <c r="L300" s="16">
        <v>500</v>
      </c>
      <c r="M300" s="16">
        <f xml:space="preserve"> K300 * L300</f>
        <v>1000</v>
      </c>
      <c r="N300" s="16">
        <f>M300 * $Q$3</f>
        <v>15</v>
      </c>
      <c r="O300" s="16">
        <f>M300 * $Q$4</f>
        <v>20</v>
      </c>
    </row>
    <row r="301" spans="1:15">
      <c r="A301" s="2">
        <v>300</v>
      </c>
      <c r="B301" s="4">
        <f>DAY(E301)</f>
        <v>31</v>
      </c>
      <c r="C301" s="4">
        <f>MONTH(E301)</f>
        <v>1</v>
      </c>
      <c r="D301" s="4">
        <f>YEAR(E301)</f>
        <v>2023</v>
      </c>
      <c r="E301" s="3">
        <v>44957</v>
      </c>
      <c r="F301" s="4" t="s">
        <v>331</v>
      </c>
      <c r="G301" s="4" t="s">
        <v>7</v>
      </c>
      <c r="H301" s="4">
        <v>19</v>
      </c>
      <c r="I301" s="4" t="str" cm="1">
        <f t="array" ref="I301">_xlfn.IFS(H301&lt;30, "Young Adult", H301&lt;50, "Adult", H301&gt;=50, "Senior")</f>
        <v>Young Adult</v>
      </c>
      <c r="J301" s="4" t="s">
        <v>4</v>
      </c>
      <c r="K301" s="4">
        <v>4</v>
      </c>
      <c r="L301" s="16">
        <v>50</v>
      </c>
      <c r="M301" s="16">
        <f xml:space="preserve"> K301 * L301</f>
        <v>200</v>
      </c>
      <c r="N301" s="16">
        <f>M301 * $Q$3</f>
        <v>3</v>
      </c>
      <c r="O301" s="16">
        <f>M301 * $Q$4</f>
        <v>4</v>
      </c>
    </row>
    <row r="302" spans="1:15">
      <c r="A302" s="2">
        <v>301</v>
      </c>
      <c r="B302" s="4">
        <f>DAY(E302)</f>
        <v>26</v>
      </c>
      <c r="C302" s="4">
        <f>MONTH(E302)</f>
        <v>3</v>
      </c>
      <c r="D302" s="4">
        <f>YEAR(E302)</f>
        <v>2023</v>
      </c>
      <c r="E302" s="3">
        <v>45011</v>
      </c>
      <c r="F302" s="4" t="s">
        <v>332</v>
      </c>
      <c r="G302" s="4" t="s">
        <v>8</v>
      </c>
      <c r="H302" s="4">
        <v>30</v>
      </c>
      <c r="I302" s="4" t="str" cm="1">
        <f t="array" ref="I302">_xlfn.IFS(H302&lt;30, "Young Adult", H302&lt;50, "Adult", H302&gt;=50, "Senior")</f>
        <v>Adult</v>
      </c>
      <c r="J302" s="4" t="s">
        <v>3</v>
      </c>
      <c r="K302" s="4">
        <v>4</v>
      </c>
      <c r="L302" s="16">
        <v>30</v>
      </c>
      <c r="M302" s="16">
        <f xml:space="preserve"> K302 * L302</f>
        <v>120</v>
      </c>
      <c r="N302" s="16">
        <f>M302 * $Q$3</f>
        <v>1.7999999999999998</v>
      </c>
      <c r="O302" s="16">
        <f>M302 * $Q$4</f>
        <v>2.4</v>
      </c>
    </row>
    <row r="303" spans="1:15">
      <c r="A303" s="2">
        <v>302</v>
      </c>
      <c r="B303" s="4">
        <f>DAY(E303)</f>
        <v>14</v>
      </c>
      <c r="C303" s="4">
        <f>MONTH(E303)</f>
        <v>7</v>
      </c>
      <c r="D303" s="4">
        <f>YEAR(E303)</f>
        <v>2023</v>
      </c>
      <c r="E303" s="3">
        <v>45121</v>
      </c>
      <c r="F303" s="4" t="s">
        <v>333</v>
      </c>
      <c r="G303" s="4" t="s">
        <v>8</v>
      </c>
      <c r="H303" s="4">
        <v>57</v>
      </c>
      <c r="I303" s="4" t="str" cm="1">
        <f t="array" ref="I303">_xlfn.IFS(H303&lt;30, "Young Adult", H303&lt;50, "Adult", H303&gt;=50, "Senior")</f>
        <v>Senior</v>
      </c>
      <c r="J303" s="4" t="s">
        <v>2</v>
      </c>
      <c r="K303" s="4">
        <v>2</v>
      </c>
      <c r="L303" s="16">
        <v>300</v>
      </c>
      <c r="M303" s="16">
        <f xml:space="preserve"> K303 * L303</f>
        <v>600</v>
      </c>
      <c r="N303" s="16">
        <f>M303 * $Q$3</f>
        <v>9</v>
      </c>
      <c r="O303" s="16">
        <f>M303 * $Q$4</f>
        <v>12</v>
      </c>
    </row>
    <row r="304" spans="1:15">
      <c r="A304" s="2">
        <v>303</v>
      </c>
      <c r="B304" s="4">
        <f>DAY(E304)</f>
        <v>2</v>
      </c>
      <c r="C304" s="4">
        <f>MONTH(E304)</f>
        <v>1</v>
      </c>
      <c r="D304" s="4">
        <f>YEAR(E304)</f>
        <v>2023</v>
      </c>
      <c r="E304" s="3">
        <v>44928</v>
      </c>
      <c r="F304" s="4" t="s">
        <v>334</v>
      </c>
      <c r="G304" s="4" t="s">
        <v>8</v>
      </c>
      <c r="H304" s="4">
        <v>19</v>
      </c>
      <c r="I304" s="4" t="str" cm="1">
        <f t="array" ref="I304">_xlfn.IFS(H304&lt;30, "Young Adult", H304&lt;50, "Adult", H304&gt;=50, "Senior")</f>
        <v>Young Adult</v>
      </c>
      <c r="J304" s="4" t="s">
        <v>4</v>
      </c>
      <c r="K304" s="4">
        <v>3</v>
      </c>
      <c r="L304" s="16">
        <v>30</v>
      </c>
      <c r="M304" s="16">
        <f xml:space="preserve"> K304 * L304</f>
        <v>90</v>
      </c>
      <c r="N304" s="16">
        <f>M304 * $Q$3</f>
        <v>1.3499999999999999</v>
      </c>
      <c r="O304" s="16">
        <f>M304 * $Q$4</f>
        <v>1.8</v>
      </c>
    </row>
    <row r="305" spans="1:15">
      <c r="A305" s="2">
        <v>304</v>
      </c>
      <c r="B305" s="4">
        <f>DAY(E305)</f>
        <v>19</v>
      </c>
      <c r="C305" s="4">
        <f>MONTH(E305)</f>
        <v>7</v>
      </c>
      <c r="D305" s="4">
        <f>YEAR(E305)</f>
        <v>2023</v>
      </c>
      <c r="E305" s="3">
        <v>45126</v>
      </c>
      <c r="F305" s="4" t="s">
        <v>335</v>
      </c>
      <c r="G305" s="4" t="s">
        <v>7</v>
      </c>
      <c r="H305" s="4">
        <v>37</v>
      </c>
      <c r="I305" s="4" t="str" cm="1">
        <f t="array" ref="I305">_xlfn.IFS(H305&lt;30, "Young Adult", H305&lt;50, "Adult", H305&gt;=50, "Senior")</f>
        <v>Adult</v>
      </c>
      <c r="J305" s="4" t="s">
        <v>4</v>
      </c>
      <c r="K305" s="4">
        <v>2</v>
      </c>
      <c r="L305" s="16">
        <v>30</v>
      </c>
      <c r="M305" s="16">
        <f xml:space="preserve"> K305 * L305</f>
        <v>60</v>
      </c>
      <c r="N305" s="16">
        <f>M305 * $Q$3</f>
        <v>0.89999999999999991</v>
      </c>
      <c r="O305" s="16">
        <f>M305 * $Q$4</f>
        <v>1.2</v>
      </c>
    </row>
    <row r="306" spans="1:15">
      <c r="A306" s="2">
        <v>305</v>
      </c>
      <c r="B306" s="4">
        <f>DAY(E306)</f>
        <v>16</v>
      </c>
      <c r="C306" s="4">
        <f>MONTH(E306)</f>
        <v>5</v>
      </c>
      <c r="D306" s="4">
        <f>YEAR(E306)</f>
        <v>2023</v>
      </c>
      <c r="E306" s="3">
        <v>45062</v>
      </c>
      <c r="F306" s="4" t="s">
        <v>336</v>
      </c>
      <c r="G306" s="4" t="s">
        <v>7</v>
      </c>
      <c r="H306" s="4">
        <v>18</v>
      </c>
      <c r="I306" s="4" t="str" cm="1">
        <f t="array" ref="I306">_xlfn.IFS(H306&lt;30, "Young Adult", H306&lt;50, "Adult", H306&gt;=50, "Senior")</f>
        <v>Young Adult</v>
      </c>
      <c r="J306" s="4" t="s">
        <v>2</v>
      </c>
      <c r="K306" s="4">
        <v>1</v>
      </c>
      <c r="L306" s="16">
        <v>30</v>
      </c>
      <c r="M306" s="16">
        <f xml:space="preserve"> K306 * L306</f>
        <v>30</v>
      </c>
      <c r="N306" s="16">
        <f>M306 * $Q$3</f>
        <v>0.44999999999999996</v>
      </c>
      <c r="O306" s="16">
        <f>M306 * $Q$4</f>
        <v>0.6</v>
      </c>
    </row>
    <row r="307" spans="1:15">
      <c r="A307" s="2">
        <v>306</v>
      </c>
      <c r="B307" s="4">
        <f>DAY(E307)</f>
        <v>21</v>
      </c>
      <c r="C307" s="4">
        <f>MONTH(E307)</f>
        <v>8</v>
      </c>
      <c r="D307" s="4">
        <f>YEAR(E307)</f>
        <v>2023</v>
      </c>
      <c r="E307" s="3">
        <v>45159</v>
      </c>
      <c r="F307" s="4" t="s">
        <v>337</v>
      </c>
      <c r="G307" s="4" t="s">
        <v>8</v>
      </c>
      <c r="H307" s="4">
        <v>54</v>
      </c>
      <c r="I307" s="4" t="str" cm="1">
        <f t="array" ref="I307">_xlfn.IFS(H307&lt;30, "Young Adult", H307&lt;50, "Adult", H307&gt;=50, "Senior")</f>
        <v>Senior</v>
      </c>
      <c r="J307" s="4" t="s">
        <v>4</v>
      </c>
      <c r="K307" s="4">
        <v>1</v>
      </c>
      <c r="L307" s="16">
        <v>50</v>
      </c>
      <c r="M307" s="16">
        <f xml:space="preserve"> K307 * L307</f>
        <v>50</v>
      </c>
      <c r="N307" s="16">
        <f>M307 * $Q$3</f>
        <v>0.75</v>
      </c>
      <c r="O307" s="16">
        <f>M307 * $Q$4</f>
        <v>1</v>
      </c>
    </row>
    <row r="308" spans="1:15">
      <c r="A308" s="2">
        <v>307</v>
      </c>
      <c r="B308" s="4">
        <f>DAY(E308)</f>
        <v>27</v>
      </c>
      <c r="C308" s="4">
        <f>MONTH(E308)</f>
        <v>5</v>
      </c>
      <c r="D308" s="4">
        <f>YEAR(E308)</f>
        <v>2023</v>
      </c>
      <c r="E308" s="3">
        <v>45073</v>
      </c>
      <c r="F308" s="4" t="s">
        <v>338</v>
      </c>
      <c r="G308" s="4" t="s">
        <v>7</v>
      </c>
      <c r="H308" s="4">
        <v>26</v>
      </c>
      <c r="I308" s="4" t="str" cm="1">
        <f t="array" ref="I308">_xlfn.IFS(H308&lt;30, "Young Adult", H308&lt;50, "Adult", H308&gt;=50, "Senior")</f>
        <v>Young Adult</v>
      </c>
      <c r="J308" s="4" t="s">
        <v>4</v>
      </c>
      <c r="K308" s="4">
        <v>2</v>
      </c>
      <c r="L308" s="16">
        <v>25</v>
      </c>
      <c r="M308" s="16">
        <f xml:space="preserve"> K308 * L308</f>
        <v>50</v>
      </c>
      <c r="N308" s="16">
        <f>M308 * $Q$3</f>
        <v>0.75</v>
      </c>
      <c r="O308" s="16">
        <f>M308 * $Q$4</f>
        <v>1</v>
      </c>
    </row>
    <row r="309" spans="1:15">
      <c r="A309" s="2">
        <v>308</v>
      </c>
      <c r="B309" s="4">
        <f>DAY(E309)</f>
        <v>5</v>
      </c>
      <c r="C309" s="4">
        <f>MONTH(E309)</f>
        <v>8</v>
      </c>
      <c r="D309" s="4">
        <f>YEAR(E309)</f>
        <v>2023</v>
      </c>
      <c r="E309" s="3">
        <v>45143</v>
      </c>
      <c r="F309" s="4" t="s">
        <v>339</v>
      </c>
      <c r="G309" s="4" t="s">
        <v>7</v>
      </c>
      <c r="H309" s="4">
        <v>34</v>
      </c>
      <c r="I309" s="4" t="str" cm="1">
        <f t="array" ref="I309">_xlfn.IFS(H309&lt;30, "Young Adult", H309&lt;50, "Adult", H309&gt;=50, "Senior")</f>
        <v>Adult</v>
      </c>
      <c r="J309" s="4" t="s">
        <v>2</v>
      </c>
      <c r="K309" s="4">
        <v>4</v>
      </c>
      <c r="L309" s="16">
        <v>300</v>
      </c>
      <c r="M309" s="16">
        <f xml:space="preserve"> K309 * L309</f>
        <v>1200</v>
      </c>
      <c r="N309" s="16">
        <f>M309 * $Q$3</f>
        <v>18</v>
      </c>
      <c r="O309" s="16">
        <f>M309 * $Q$4</f>
        <v>24</v>
      </c>
    </row>
    <row r="310" spans="1:15">
      <c r="A310" s="2">
        <v>309</v>
      </c>
      <c r="B310" s="4">
        <f>DAY(E310)</f>
        <v>23</v>
      </c>
      <c r="C310" s="4">
        <f>MONTH(E310)</f>
        <v>12</v>
      </c>
      <c r="D310" s="4">
        <f>YEAR(E310)</f>
        <v>2023</v>
      </c>
      <c r="E310" s="3">
        <v>45283</v>
      </c>
      <c r="F310" s="4" t="s">
        <v>340</v>
      </c>
      <c r="G310" s="4" t="s">
        <v>7</v>
      </c>
      <c r="H310" s="4">
        <v>26</v>
      </c>
      <c r="I310" s="4" t="str" cm="1">
        <f t="array" ref="I310">_xlfn.IFS(H310&lt;30, "Young Adult", H310&lt;50, "Adult", H310&gt;=50, "Senior")</f>
        <v>Young Adult</v>
      </c>
      <c r="J310" s="4" t="s">
        <v>2</v>
      </c>
      <c r="K310" s="4">
        <v>1</v>
      </c>
      <c r="L310" s="16">
        <v>25</v>
      </c>
      <c r="M310" s="16">
        <f xml:space="preserve"> K310 * L310</f>
        <v>25</v>
      </c>
      <c r="N310" s="16">
        <f>M310 * $Q$3</f>
        <v>0.375</v>
      </c>
      <c r="O310" s="16">
        <f>M310 * $Q$4</f>
        <v>0.5</v>
      </c>
    </row>
    <row r="311" spans="1:15">
      <c r="A311" s="2">
        <v>310</v>
      </c>
      <c r="B311" s="4">
        <f>DAY(E311)</f>
        <v>12</v>
      </c>
      <c r="C311" s="4">
        <f>MONTH(E311)</f>
        <v>10</v>
      </c>
      <c r="D311" s="4">
        <f>YEAR(E311)</f>
        <v>2023</v>
      </c>
      <c r="E311" s="3">
        <v>45211</v>
      </c>
      <c r="F311" s="4" t="s">
        <v>341</v>
      </c>
      <c r="G311" s="4" t="s">
        <v>7</v>
      </c>
      <c r="H311" s="4">
        <v>28</v>
      </c>
      <c r="I311" s="4" t="str" cm="1">
        <f t="array" ref="I311">_xlfn.IFS(H311&lt;30, "Young Adult", H311&lt;50, "Adult", H311&gt;=50, "Senior")</f>
        <v>Young Adult</v>
      </c>
      <c r="J311" s="4" t="s">
        <v>2</v>
      </c>
      <c r="K311" s="4">
        <v>1</v>
      </c>
      <c r="L311" s="16">
        <v>25</v>
      </c>
      <c r="M311" s="16">
        <f xml:space="preserve"> K311 * L311</f>
        <v>25</v>
      </c>
      <c r="N311" s="16">
        <f>M311 * $Q$3</f>
        <v>0.375</v>
      </c>
      <c r="O311" s="16">
        <f>M311 * $Q$4</f>
        <v>0.5</v>
      </c>
    </row>
    <row r="312" spans="1:15">
      <c r="A312" s="2">
        <v>311</v>
      </c>
      <c r="B312" s="4">
        <f>DAY(E312)</f>
        <v>5</v>
      </c>
      <c r="C312" s="4">
        <f>MONTH(E312)</f>
        <v>12</v>
      </c>
      <c r="D312" s="4">
        <f>YEAR(E312)</f>
        <v>2023</v>
      </c>
      <c r="E312" s="3">
        <v>45265</v>
      </c>
      <c r="F312" s="4" t="s">
        <v>342</v>
      </c>
      <c r="G312" s="4" t="s">
        <v>7</v>
      </c>
      <c r="H312" s="4">
        <v>32</v>
      </c>
      <c r="I312" s="4" t="str" cm="1">
        <f t="array" ref="I312">_xlfn.IFS(H312&lt;30, "Young Adult", H312&lt;50, "Adult", H312&gt;=50, "Senior")</f>
        <v>Adult</v>
      </c>
      <c r="J312" s="4" t="s">
        <v>2</v>
      </c>
      <c r="K312" s="4">
        <v>4</v>
      </c>
      <c r="L312" s="16">
        <v>25</v>
      </c>
      <c r="M312" s="16">
        <f xml:space="preserve"> K312 * L312</f>
        <v>100</v>
      </c>
      <c r="N312" s="16">
        <f>M312 * $Q$3</f>
        <v>1.5</v>
      </c>
      <c r="O312" s="16">
        <f>M312 * $Q$4</f>
        <v>2</v>
      </c>
    </row>
    <row r="313" spans="1:15">
      <c r="A313" s="2">
        <v>312</v>
      </c>
      <c r="B313" s="4">
        <f>DAY(E313)</f>
        <v>7</v>
      </c>
      <c r="C313" s="4">
        <f>MONTH(E313)</f>
        <v>9</v>
      </c>
      <c r="D313" s="4">
        <f>YEAR(E313)</f>
        <v>2023</v>
      </c>
      <c r="E313" s="3">
        <v>45176</v>
      </c>
      <c r="F313" s="4" t="s">
        <v>343</v>
      </c>
      <c r="G313" s="4" t="s">
        <v>8</v>
      </c>
      <c r="H313" s="4">
        <v>41</v>
      </c>
      <c r="I313" s="4" t="str" cm="1">
        <f t="array" ref="I313">_xlfn.IFS(H313&lt;30, "Young Adult", H313&lt;50, "Adult", H313&gt;=50, "Senior")</f>
        <v>Adult</v>
      </c>
      <c r="J313" s="4" t="s">
        <v>3</v>
      </c>
      <c r="K313" s="4">
        <v>4</v>
      </c>
      <c r="L313" s="16">
        <v>30</v>
      </c>
      <c r="M313" s="16">
        <f xml:space="preserve"> K313 * L313</f>
        <v>120</v>
      </c>
      <c r="N313" s="16">
        <f>M313 * $Q$3</f>
        <v>1.7999999999999998</v>
      </c>
      <c r="O313" s="16">
        <f>M313 * $Q$4</f>
        <v>2.4</v>
      </c>
    </row>
    <row r="314" spans="1:15">
      <c r="A314" s="2">
        <v>313</v>
      </c>
      <c r="B314" s="4">
        <f>DAY(E314)</f>
        <v>21</v>
      </c>
      <c r="C314" s="4">
        <f>MONTH(E314)</f>
        <v>3</v>
      </c>
      <c r="D314" s="4">
        <f>YEAR(E314)</f>
        <v>2023</v>
      </c>
      <c r="E314" s="3">
        <v>45006</v>
      </c>
      <c r="F314" s="4" t="s">
        <v>344</v>
      </c>
      <c r="G314" s="4" t="s">
        <v>7</v>
      </c>
      <c r="H314" s="4">
        <v>55</v>
      </c>
      <c r="I314" s="4" t="str" cm="1">
        <f t="array" ref="I314">_xlfn.IFS(H314&lt;30, "Young Adult", H314&lt;50, "Adult", H314&gt;=50, "Senior")</f>
        <v>Senior</v>
      </c>
      <c r="J314" s="4" t="s">
        <v>2</v>
      </c>
      <c r="K314" s="4">
        <v>3</v>
      </c>
      <c r="L314" s="16">
        <v>500</v>
      </c>
      <c r="M314" s="16">
        <f xml:space="preserve"> K314 * L314</f>
        <v>1500</v>
      </c>
      <c r="N314" s="16">
        <f>M314 * $Q$3</f>
        <v>22.5</v>
      </c>
      <c r="O314" s="16">
        <f>M314 * $Q$4</f>
        <v>30</v>
      </c>
    </row>
    <row r="315" spans="1:15">
      <c r="A315" s="2">
        <v>314</v>
      </c>
      <c r="B315" s="4">
        <f>DAY(E315)</f>
        <v>8</v>
      </c>
      <c r="C315" s="4">
        <f>MONTH(E315)</f>
        <v>4</v>
      </c>
      <c r="D315" s="4">
        <f>YEAR(E315)</f>
        <v>2023</v>
      </c>
      <c r="E315" s="3">
        <v>45024</v>
      </c>
      <c r="F315" s="4" t="s">
        <v>345</v>
      </c>
      <c r="G315" s="4" t="s">
        <v>8</v>
      </c>
      <c r="H315" s="4">
        <v>52</v>
      </c>
      <c r="I315" s="4" t="str" cm="1">
        <f t="array" ref="I315">_xlfn.IFS(H315&lt;30, "Young Adult", H315&lt;50, "Adult", H315&gt;=50, "Senior")</f>
        <v>Senior</v>
      </c>
      <c r="J315" s="4" t="s">
        <v>3</v>
      </c>
      <c r="K315" s="4">
        <v>4</v>
      </c>
      <c r="L315" s="16">
        <v>30</v>
      </c>
      <c r="M315" s="16">
        <f xml:space="preserve"> K315 * L315</f>
        <v>120</v>
      </c>
      <c r="N315" s="16">
        <f>M315 * $Q$3</f>
        <v>1.7999999999999998</v>
      </c>
      <c r="O315" s="16">
        <f>M315 * $Q$4</f>
        <v>2.4</v>
      </c>
    </row>
    <row r="316" spans="1:15">
      <c r="A316" s="2">
        <v>315</v>
      </c>
      <c r="B316" s="4">
        <f>DAY(E316)</f>
        <v>1</v>
      </c>
      <c r="C316" s="4">
        <f>MONTH(E316)</f>
        <v>6</v>
      </c>
      <c r="D316" s="4">
        <f>YEAR(E316)</f>
        <v>2023</v>
      </c>
      <c r="E316" s="3">
        <v>45078</v>
      </c>
      <c r="F316" s="4" t="s">
        <v>346</v>
      </c>
      <c r="G316" s="4" t="s">
        <v>8</v>
      </c>
      <c r="H316" s="4">
        <v>47</v>
      </c>
      <c r="I316" s="4" t="str" cm="1">
        <f t="array" ref="I316">_xlfn.IFS(H316&lt;30, "Young Adult", H316&lt;50, "Adult", H316&gt;=50, "Senior")</f>
        <v>Adult</v>
      </c>
      <c r="J316" s="4" t="s">
        <v>3</v>
      </c>
      <c r="K316" s="4">
        <v>2</v>
      </c>
      <c r="L316" s="16">
        <v>30</v>
      </c>
      <c r="M316" s="16">
        <f xml:space="preserve"> K316 * L316</f>
        <v>60</v>
      </c>
      <c r="N316" s="16">
        <f>M316 * $Q$3</f>
        <v>0.89999999999999991</v>
      </c>
      <c r="O316" s="16">
        <f>M316 * $Q$4</f>
        <v>1.2</v>
      </c>
    </row>
    <row r="317" spans="1:15">
      <c r="A317" s="2">
        <v>316</v>
      </c>
      <c r="B317" s="4">
        <f>DAY(E317)</f>
        <v>22</v>
      </c>
      <c r="C317" s="4">
        <f>MONTH(E317)</f>
        <v>4</v>
      </c>
      <c r="D317" s="4">
        <f>YEAR(E317)</f>
        <v>2023</v>
      </c>
      <c r="E317" s="3">
        <v>45038</v>
      </c>
      <c r="F317" s="4" t="s">
        <v>347</v>
      </c>
      <c r="G317" s="4" t="s">
        <v>7</v>
      </c>
      <c r="H317" s="4">
        <v>48</v>
      </c>
      <c r="I317" s="4" t="str" cm="1">
        <f t="array" ref="I317">_xlfn.IFS(H317&lt;30, "Young Adult", H317&lt;50, "Adult", H317&gt;=50, "Senior")</f>
        <v>Adult</v>
      </c>
      <c r="J317" s="4" t="s">
        <v>3</v>
      </c>
      <c r="K317" s="4">
        <v>2</v>
      </c>
      <c r="L317" s="16">
        <v>25</v>
      </c>
      <c r="M317" s="16">
        <f xml:space="preserve"> K317 * L317</f>
        <v>50</v>
      </c>
      <c r="N317" s="16">
        <f>M317 * $Q$3</f>
        <v>0.75</v>
      </c>
      <c r="O317" s="16">
        <f>M317 * $Q$4</f>
        <v>1</v>
      </c>
    </row>
    <row r="318" spans="1:15">
      <c r="A318" s="2">
        <v>317</v>
      </c>
      <c r="B318" s="4">
        <f>DAY(E318)</f>
        <v>30</v>
      </c>
      <c r="C318" s="4">
        <f>MONTH(E318)</f>
        <v>1</v>
      </c>
      <c r="D318" s="4">
        <f>YEAR(E318)</f>
        <v>2023</v>
      </c>
      <c r="E318" s="3">
        <v>44956</v>
      </c>
      <c r="F318" s="4" t="s">
        <v>348</v>
      </c>
      <c r="G318" s="4" t="s">
        <v>8</v>
      </c>
      <c r="H318" s="4">
        <v>22</v>
      </c>
      <c r="I318" s="4" t="str" cm="1">
        <f t="array" ref="I318">_xlfn.IFS(H318&lt;30, "Young Adult", H318&lt;50, "Adult", H318&gt;=50, "Senior")</f>
        <v>Young Adult</v>
      </c>
      <c r="J318" s="4" t="s">
        <v>4</v>
      </c>
      <c r="K318" s="4">
        <v>3</v>
      </c>
      <c r="L318" s="16">
        <v>30</v>
      </c>
      <c r="M318" s="16">
        <f xml:space="preserve"> K318 * L318</f>
        <v>90</v>
      </c>
      <c r="N318" s="16">
        <f>M318 * $Q$3</f>
        <v>1.3499999999999999</v>
      </c>
      <c r="O318" s="16">
        <f>M318 * $Q$4</f>
        <v>1.8</v>
      </c>
    </row>
    <row r="319" spans="1:15">
      <c r="A319" s="2">
        <v>318</v>
      </c>
      <c r="B319" s="4">
        <f>DAY(E319)</f>
        <v>24</v>
      </c>
      <c r="C319" s="4">
        <f>MONTH(E319)</f>
        <v>10</v>
      </c>
      <c r="D319" s="4">
        <f>YEAR(E319)</f>
        <v>2023</v>
      </c>
      <c r="E319" s="3">
        <v>45223</v>
      </c>
      <c r="F319" s="4" t="s">
        <v>349</v>
      </c>
      <c r="G319" s="4" t="s">
        <v>8</v>
      </c>
      <c r="H319" s="4">
        <v>61</v>
      </c>
      <c r="I319" s="4" t="str" cm="1">
        <f t="array" ref="I319">_xlfn.IFS(H319&lt;30, "Young Adult", H319&lt;50, "Adult", H319&gt;=50, "Senior")</f>
        <v>Senior</v>
      </c>
      <c r="J319" s="4" t="s">
        <v>3</v>
      </c>
      <c r="K319" s="4">
        <v>1</v>
      </c>
      <c r="L319" s="16">
        <v>25</v>
      </c>
      <c r="M319" s="16">
        <f xml:space="preserve"> K319 * L319</f>
        <v>25</v>
      </c>
      <c r="N319" s="16">
        <f>M319 * $Q$3</f>
        <v>0.375</v>
      </c>
      <c r="O319" s="16">
        <f>M319 * $Q$4</f>
        <v>0.5</v>
      </c>
    </row>
    <row r="320" spans="1:15">
      <c r="A320" s="2">
        <v>319</v>
      </c>
      <c r="B320" s="4">
        <f>DAY(E320)</f>
        <v>5</v>
      </c>
      <c r="C320" s="4">
        <f>MONTH(E320)</f>
        <v>10</v>
      </c>
      <c r="D320" s="4">
        <f>YEAR(E320)</f>
        <v>2023</v>
      </c>
      <c r="E320" s="3">
        <v>45204</v>
      </c>
      <c r="F320" s="4" t="s">
        <v>350</v>
      </c>
      <c r="G320" s="4" t="s">
        <v>8</v>
      </c>
      <c r="H320" s="4">
        <v>31</v>
      </c>
      <c r="I320" s="4" t="str" cm="1">
        <f t="array" ref="I320">_xlfn.IFS(H320&lt;30, "Young Adult", H320&lt;50, "Adult", H320&gt;=50, "Senior")</f>
        <v>Adult</v>
      </c>
      <c r="J320" s="4" t="s">
        <v>3</v>
      </c>
      <c r="K320" s="4">
        <v>1</v>
      </c>
      <c r="L320" s="16">
        <v>500</v>
      </c>
      <c r="M320" s="16">
        <f xml:space="preserve"> K320 * L320</f>
        <v>500</v>
      </c>
      <c r="N320" s="16">
        <f>M320 * $Q$3</f>
        <v>7.5</v>
      </c>
      <c r="O320" s="16">
        <f>M320 * $Q$4</f>
        <v>10</v>
      </c>
    </row>
    <row r="321" spans="1:15">
      <c r="A321" s="2">
        <v>320</v>
      </c>
      <c r="B321" s="4">
        <f>DAY(E321)</f>
        <v>1</v>
      </c>
      <c r="C321" s="4">
        <f>MONTH(E321)</f>
        <v>2</v>
      </c>
      <c r="D321" s="4">
        <f>YEAR(E321)</f>
        <v>2023</v>
      </c>
      <c r="E321" s="3">
        <v>44958</v>
      </c>
      <c r="F321" s="4" t="s">
        <v>351</v>
      </c>
      <c r="G321" s="4" t="s">
        <v>7</v>
      </c>
      <c r="H321" s="4">
        <v>28</v>
      </c>
      <c r="I321" s="4" t="str" cm="1">
        <f t="array" ref="I321">_xlfn.IFS(H321&lt;30, "Young Adult", H321&lt;50, "Adult", H321&gt;=50, "Senior")</f>
        <v>Young Adult</v>
      </c>
      <c r="J321" s="4" t="s">
        <v>4</v>
      </c>
      <c r="K321" s="4">
        <v>4</v>
      </c>
      <c r="L321" s="16">
        <v>300</v>
      </c>
      <c r="M321" s="16">
        <f xml:space="preserve"> K321 * L321</f>
        <v>1200</v>
      </c>
      <c r="N321" s="16">
        <f>M321 * $Q$3</f>
        <v>18</v>
      </c>
      <c r="O321" s="16">
        <f>M321 * $Q$4</f>
        <v>24</v>
      </c>
    </row>
    <row r="322" spans="1:15">
      <c r="A322" s="2">
        <v>321</v>
      </c>
      <c r="B322" s="4">
        <f>DAY(E322)</f>
        <v>10</v>
      </c>
      <c r="C322" s="4">
        <f>MONTH(E322)</f>
        <v>6</v>
      </c>
      <c r="D322" s="4">
        <f>YEAR(E322)</f>
        <v>2023</v>
      </c>
      <c r="E322" s="3">
        <v>45087</v>
      </c>
      <c r="F322" s="4" t="s">
        <v>352</v>
      </c>
      <c r="G322" s="4" t="s">
        <v>7</v>
      </c>
      <c r="H322" s="4">
        <v>26</v>
      </c>
      <c r="I322" s="4" t="str" cm="1">
        <f t="array" ref="I322">_xlfn.IFS(H322&lt;30, "Young Adult", H322&lt;50, "Adult", H322&gt;=50, "Senior")</f>
        <v>Young Adult</v>
      </c>
      <c r="J322" s="4" t="s">
        <v>4</v>
      </c>
      <c r="K322" s="4">
        <v>2</v>
      </c>
      <c r="L322" s="16">
        <v>25</v>
      </c>
      <c r="M322" s="16">
        <f xml:space="preserve"> K322 * L322</f>
        <v>50</v>
      </c>
      <c r="N322" s="16">
        <f>M322 * $Q$3</f>
        <v>0.75</v>
      </c>
      <c r="O322" s="16">
        <f>M322 * $Q$4</f>
        <v>1</v>
      </c>
    </row>
    <row r="323" spans="1:15">
      <c r="A323" s="2">
        <v>322</v>
      </c>
      <c r="B323" s="4">
        <f>DAY(E323)</f>
        <v>30</v>
      </c>
      <c r="C323" s="4">
        <f>MONTH(E323)</f>
        <v>1</v>
      </c>
      <c r="D323" s="4">
        <f>YEAR(E323)</f>
        <v>2023</v>
      </c>
      <c r="E323" s="3">
        <v>44956</v>
      </c>
      <c r="F323" s="4" t="s">
        <v>353</v>
      </c>
      <c r="G323" s="4" t="s">
        <v>8</v>
      </c>
      <c r="H323" s="4">
        <v>51</v>
      </c>
      <c r="I323" s="4" t="str" cm="1">
        <f t="array" ref="I323">_xlfn.IFS(H323&lt;30, "Young Adult", H323&lt;50, "Adult", H323&gt;=50, "Senior")</f>
        <v>Senior</v>
      </c>
      <c r="J323" s="4" t="s">
        <v>4</v>
      </c>
      <c r="K323" s="4">
        <v>1</v>
      </c>
      <c r="L323" s="16">
        <v>500</v>
      </c>
      <c r="M323" s="16">
        <f xml:space="preserve"> K323 * L323</f>
        <v>500</v>
      </c>
      <c r="N323" s="16">
        <f>M323 * $Q$3</f>
        <v>7.5</v>
      </c>
      <c r="O323" s="16">
        <f>M323 * $Q$4</f>
        <v>10</v>
      </c>
    </row>
    <row r="324" spans="1:15">
      <c r="A324" s="2">
        <v>323</v>
      </c>
      <c r="B324" s="4">
        <f>DAY(E324)</f>
        <v>26</v>
      </c>
      <c r="C324" s="4">
        <f>MONTH(E324)</f>
        <v>1</v>
      </c>
      <c r="D324" s="4">
        <f>YEAR(E324)</f>
        <v>2023</v>
      </c>
      <c r="E324" s="3">
        <v>44952</v>
      </c>
      <c r="F324" s="4" t="s">
        <v>354</v>
      </c>
      <c r="G324" s="4" t="s">
        <v>7</v>
      </c>
      <c r="H324" s="4">
        <v>29</v>
      </c>
      <c r="I324" s="4" t="str" cm="1">
        <f t="array" ref="I324">_xlfn.IFS(H324&lt;30, "Young Adult", H324&lt;50, "Adult", H324&gt;=50, "Senior")</f>
        <v>Young Adult</v>
      </c>
      <c r="J324" s="4" t="s">
        <v>2</v>
      </c>
      <c r="K324" s="4">
        <v>3</v>
      </c>
      <c r="L324" s="16">
        <v>300</v>
      </c>
      <c r="M324" s="16">
        <f xml:space="preserve"> K324 * L324</f>
        <v>900</v>
      </c>
      <c r="N324" s="16">
        <f>M324 * $Q$3</f>
        <v>13.5</v>
      </c>
      <c r="O324" s="16">
        <f>M324 * $Q$4</f>
        <v>18</v>
      </c>
    </row>
    <row r="325" spans="1:15">
      <c r="A325" s="2">
        <v>324</v>
      </c>
      <c r="B325" s="4">
        <f>DAY(E325)</f>
        <v>27</v>
      </c>
      <c r="C325" s="4">
        <f>MONTH(E325)</f>
        <v>10</v>
      </c>
      <c r="D325" s="4">
        <f>YEAR(E325)</f>
        <v>2023</v>
      </c>
      <c r="E325" s="3">
        <v>45226</v>
      </c>
      <c r="F325" s="4" t="s">
        <v>355</v>
      </c>
      <c r="G325" s="4" t="s">
        <v>7</v>
      </c>
      <c r="H325" s="4">
        <v>52</v>
      </c>
      <c r="I325" s="4" t="str" cm="1">
        <f t="array" ref="I325">_xlfn.IFS(H325&lt;30, "Young Adult", H325&lt;50, "Adult", H325&gt;=50, "Senior")</f>
        <v>Senior</v>
      </c>
      <c r="J325" s="4" t="s">
        <v>4</v>
      </c>
      <c r="K325" s="4">
        <v>3</v>
      </c>
      <c r="L325" s="16">
        <v>50</v>
      </c>
      <c r="M325" s="16">
        <f xml:space="preserve"> K325 * L325</f>
        <v>150</v>
      </c>
      <c r="N325" s="16">
        <f>M325 * $Q$3</f>
        <v>2.25</v>
      </c>
      <c r="O325" s="16">
        <f>M325 * $Q$4</f>
        <v>3</v>
      </c>
    </row>
    <row r="326" spans="1:15">
      <c r="A326" s="2">
        <v>325</v>
      </c>
      <c r="B326" s="4">
        <f>DAY(E326)</f>
        <v>2</v>
      </c>
      <c r="C326" s="4">
        <f>MONTH(E326)</f>
        <v>9</v>
      </c>
      <c r="D326" s="4">
        <f>YEAR(E326)</f>
        <v>2023</v>
      </c>
      <c r="E326" s="3">
        <v>45171</v>
      </c>
      <c r="F326" s="4" t="s">
        <v>356</v>
      </c>
      <c r="G326" s="4" t="s">
        <v>7</v>
      </c>
      <c r="H326" s="4">
        <v>52</v>
      </c>
      <c r="I326" s="4" t="str" cm="1">
        <f t="array" ref="I326">_xlfn.IFS(H326&lt;30, "Young Adult", H326&lt;50, "Adult", H326&gt;=50, "Senior")</f>
        <v>Senior</v>
      </c>
      <c r="J326" s="4" t="s">
        <v>4</v>
      </c>
      <c r="K326" s="4">
        <v>2</v>
      </c>
      <c r="L326" s="16">
        <v>25</v>
      </c>
      <c r="M326" s="16">
        <f xml:space="preserve"> K326 * L326</f>
        <v>50</v>
      </c>
      <c r="N326" s="16">
        <f>M326 * $Q$3</f>
        <v>0.75</v>
      </c>
      <c r="O326" s="16">
        <f>M326 * $Q$4</f>
        <v>1</v>
      </c>
    </row>
    <row r="327" spans="1:15">
      <c r="A327" s="2">
        <v>326</v>
      </c>
      <c r="B327" s="4">
        <f>DAY(E327)</f>
        <v>15</v>
      </c>
      <c r="C327" s="4">
        <f>MONTH(E327)</f>
        <v>9</v>
      </c>
      <c r="D327" s="4">
        <f>YEAR(E327)</f>
        <v>2023</v>
      </c>
      <c r="E327" s="3">
        <v>45184</v>
      </c>
      <c r="F327" s="4" t="s">
        <v>357</v>
      </c>
      <c r="G327" s="4" t="s">
        <v>7</v>
      </c>
      <c r="H327" s="4">
        <v>18</v>
      </c>
      <c r="I327" s="4" t="str" cm="1">
        <f t="array" ref="I327">_xlfn.IFS(H327&lt;30, "Young Adult", H327&lt;50, "Adult", H327&gt;=50, "Senior")</f>
        <v>Young Adult</v>
      </c>
      <c r="J327" s="4" t="s">
        <v>3</v>
      </c>
      <c r="K327" s="4">
        <v>3</v>
      </c>
      <c r="L327" s="16">
        <v>25</v>
      </c>
      <c r="M327" s="16">
        <f xml:space="preserve"> K327 * L327</f>
        <v>75</v>
      </c>
      <c r="N327" s="16">
        <f>M327 * $Q$3</f>
        <v>1.125</v>
      </c>
      <c r="O327" s="16">
        <f>M327 * $Q$4</f>
        <v>1.5</v>
      </c>
    </row>
    <row r="328" spans="1:15">
      <c r="A328" s="2">
        <v>327</v>
      </c>
      <c r="B328" s="4">
        <f>DAY(E328)</f>
        <v>29</v>
      </c>
      <c r="C328" s="4">
        <f>MONTH(E328)</f>
        <v>9</v>
      </c>
      <c r="D328" s="4">
        <f>YEAR(E328)</f>
        <v>2023</v>
      </c>
      <c r="E328" s="3">
        <v>45198</v>
      </c>
      <c r="F328" s="4" t="s">
        <v>358</v>
      </c>
      <c r="G328" s="4" t="s">
        <v>8</v>
      </c>
      <c r="H328" s="4">
        <v>57</v>
      </c>
      <c r="I328" s="4" t="str" cm="1">
        <f t="array" ref="I328">_xlfn.IFS(H328&lt;30, "Young Adult", H328&lt;50, "Adult", H328&gt;=50, "Senior")</f>
        <v>Senior</v>
      </c>
      <c r="J328" s="4" t="s">
        <v>4</v>
      </c>
      <c r="K328" s="4">
        <v>3</v>
      </c>
      <c r="L328" s="16">
        <v>50</v>
      </c>
      <c r="M328" s="16">
        <f xml:space="preserve"> K328 * L328</f>
        <v>150</v>
      </c>
      <c r="N328" s="16">
        <f>M328 * $Q$3</f>
        <v>2.25</v>
      </c>
      <c r="O328" s="16">
        <f>M328 * $Q$4</f>
        <v>3</v>
      </c>
    </row>
    <row r="329" spans="1:15">
      <c r="A329" s="2">
        <v>328</v>
      </c>
      <c r="B329" s="4">
        <f>DAY(E329)</f>
        <v>22</v>
      </c>
      <c r="C329" s="4">
        <f>MONTH(E329)</f>
        <v>3</v>
      </c>
      <c r="D329" s="4">
        <f>YEAR(E329)</f>
        <v>2023</v>
      </c>
      <c r="E329" s="3">
        <v>45007</v>
      </c>
      <c r="F329" s="4" t="s">
        <v>359</v>
      </c>
      <c r="G329" s="4" t="s">
        <v>8</v>
      </c>
      <c r="H329" s="4">
        <v>39</v>
      </c>
      <c r="I329" s="4" t="str" cm="1">
        <f t="array" ref="I329">_xlfn.IFS(H329&lt;30, "Young Adult", H329&lt;50, "Adult", H329&gt;=50, "Senior")</f>
        <v>Adult</v>
      </c>
      <c r="J329" s="4" t="s">
        <v>2</v>
      </c>
      <c r="K329" s="4">
        <v>2</v>
      </c>
      <c r="L329" s="16">
        <v>50</v>
      </c>
      <c r="M329" s="16">
        <f xml:space="preserve"> K329 * L329</f>
        <v>100</v>
      </c>
      <c r="N329" s="16">
        <f>M329 * $Q$3</f>
        <v>1.5</v>
      </c>
      <c r="O329" s="16">
        <f>M329 * $Q$4</f>
        <v>2</v>
      </c>
    </row>
    <row r="330" spans="1:15">
      <c r="A330" s="2">
        <v>329</v>
      </c>
      <c r="B330" s="4">
        <f>DAY(E330)</f>
        <v>30</v>
      </c>
      <c r="C330" s="4">
        <f>MONTH(E330)</f>
        <v>1</v>
      </c>
      <c r="D330" s="4">
        <f>YEAR(E330)</f>
        <v>2023</v>
      </c>
      <c r="E330" s="3">
        <v>44956</v>
      </c>
      <c r="F330" s="4" t="s">
        <v>360</v>
      </c>
      <c r="G330" s="4" t="s">
        <v>7</v>
      </c>
      <c r="H330" s="4">
        <v>46</v>
      </c>
      <c r="I330" s="4" t="str" cm="1">
        <f t="array" ref="I330">_xlfn.IFS(H330&lt;30, "Young Adult", H330&lt;50, "Adult", H330&gt;=50, "Senior")</f>
        <v>Adult</v>
      </c>
      <c r="J330" s="4" t="s">
        <v>4</v>
      </c>
      <c r="K330" s="4">
        <v>4</v>
      </c>
      <c r="L330" s="16">
        <v>25</v>
      </c>
      <c r="M330" s="16">
        <f xml:space="preserve"> K330 * L330</f>
        <v>100</v>
      </c>
      <c r="N330" s="16">
        <f>M330 * $Q$3</f>
        <v>1.5</v>
      </c>
      <c r="O330" s="16">
        <f>M330 * $Q$4</f>
        <v>2</v>
      </c>
    </row>
    <row r="331" spans="1:15">
      <c r="A331" s="2">
        <v>330</v>
      </c>
      <c r="B331" s="4">
        <f>DAY(E331)</f>
        <v>18</v>
      </c>
      <c r="C331" s="4">
        <f>MONTH(E331)</f>
        <v>9</v>
      </c>
      <c r="D331" s="4">
        <f>YEAR(E331)</f>
        <v>2023</v>
      </c>
      <c r="E331" s="3">
        <v>45187</v>
      </c>
      <c r="F331" s="4" t="s">
        <v>361</v>
      </c>
      <c r="G331" s="4" t="s">
        <v>7</v>
      </c>
      <c r="H331" s="4">
        <v>25</v>
      </c>
      <c r="I331" s="4" t="str" cm="1">
        <f t="array" ref="I331">_xlfn.IFS(H331&lt;30, "Young Adult", H331&lt;50, "Adult", H331&gt;=50, "Senior")</f>
        <v>Young Adult</v>
      </c>
      <c r="J331" s="4" t="s">
        <v>2</v>
      </c>
      <c r="K331" s="4">
        <v>4</v>
      </c>
      <c r="L331" s="16">
        <v>50</v>
      </c>
      <c r="M331" s="16">
        <f xml:space="preserve"> K331 * L331</f>
        <v>200</v>
      </c>
      <c r="N331" s="16">
        <f>M331 * $Q$3</f>
        <v>3</v>
      </c>
      <c r="O331" s="16">
        <f>M331 * $Q$4</f>
        <v>4</v>
      </c>
    </row>
    <row r="332" spans="1:15">
      <c r="A332" s="2">
        <v>331</v>
      </c>
      <c r="B332" s="4">
        <f>DAY(E332)</f>
        <v>11</v>
      </c>
      <c r="C332" s="4">
        <f>MONTH(E332)</f>
        <v>2</v>
      </c>
      <c r="D332" s="4">
        <f>YEAR(E332)</f>
        <v>2023</v>
      </c>
      <c r="E332" s="3">
        <v>44968</v>
      </c>
      <c r="F332" s="4" t="s">
        <v>362</v>
      </c>
      <c r="G332" s="4" t="s">
        <v>8</v>
      </c>
      <c r="H332" s="4">
        <v>28</v>
      </c>
      <c r="I332" s="4" t="str" cm="1">
        <f t="array" ref="I332">_xlfn.IFS(H332&lt;30, "Young Adult", H332&lt;50, "Adult", H332&gt;=50, "Senior")</f>
        <v>Young Adult</v>
      </c>
      <c r="J332" s="4" t="s">
        <v>4</v>
      </c>
      <c r="K332" s="4">
        <v>3</v>
      </c>
      <c r="L332" s="16">
        <v>30</v>
      </c>
      <c r="M332" s="16">
        <f xml:space="preserve"> K332 * L332</f>
        <v>90</v>
      </c>
      <c r="N332" s="16">
        <f>M332 * $Q$3</f>
        <v>1.3499999999999999</v>
      </c>
      <c r="O332" s="16">
        <f>M332 * $Q$4</f>
        <v>1.8</v>
      </c>
    </row>
    <row r="333" spans="1:15">
      <c r="A333" s="2">
        <v>332</v>
      </c>
      <c r="B333" s="4">
        <f>DAY(E333)</f>
        <v>6</v>
      </c>
      <c r="C333" s="4">
        <f>MONTH(E333)</f>
        <v>4</v>
      </c>
      <c r="D333" s="4">
        <f>YEAR(E333)</f>
        <v>2023</v>
      </c>
      <c r="E333" s="3">
        <v>45022</v>
      </c>
      <c r="F333" s="4" t="s">
        <v>363</v>
      </c>
      <c r="G333" s="4" t="s">
        <v>8</v>
      </c>
      <c r="H333" s="4">
        <v>58</v>
      </c>
      <c r="I333" s="4" t="str" cm="1">
        <f t="array" ref="I333">_xlfn.IFS(H333&lt;30, "Young Adult", H333&lt;50, "Adult", H333&gt;=50, "Senior")</f>
        <v>Senior</v>
      </c>
      <c r="J333" s="4" t="s">
        <v>4</v>
      </c>
      <c r="K333" s="4">
        <v>4</v>
      </c>
      <c r="L333" s="16">
        <v>300</v>
      </c>
      <c r="M333" s="16">
        <f xml:space="preserve"> K333 * L333</f>
        <v>1200</v>
      </c>
      <c r="N333" s="16">
        <f>M333 * $Q$3</f>
        <v>18</v>
      </c>
      <c r="O333" s="16">
        <f>M333 * $Q$4</f>
        <v>24</v>
      </c>
    </row>
    <row r="334" spans="1:15">
      <c r="A334" s="2">
        <v>333</v>
      </c>
      <c r="B334" s="4">
        <f>DAY(E334)</f>
        <v>5</v>
      </c>
      <c r="C334" s="4">
        <f>MONTH(E334)</f>
        <v>2</v>
      </c>
      <c r="D334" s="4">
        <f>YEAR(E334)</f>
        <v>2023</v>
      </c>
      <c r="E334" s="3">
        <v>44962</v>
      </c>
      <c r="F334" s="4" t="s">
        <v>364</v>
      </c>
      <c r="G334" s="4" t="s">
        <v>7</v>
      </c>
      <c r="H334" s="4">
        <v>54</v>
      </c>
      <c r="I334" s="4" t="str" cm="1">
        <f t="array" ref="I334">_xlfn.IFS(H334&lt;30, "Young Adult", H334&lt;50, "Adult", H334&gt;=50, "Senior")</f>
        <v>Senior</v>
      </c>
      <c r="J334" s="4" t="s">
        <v>4</v>
      </c>
      <c r="K334" s="4">
        <v>4</v>
      </c>
      <c r="L334" s="16">
        <v>300</v>
      </c>
      <c r="M334" s="16">
        <f xml:space="preserve"> K334 * L334</f>
        <v>1200</v>
      </c>
      <c r="N334" s="16">
        <f>M334 * $Q$3</f>
        <v>18</v>
      </c>
      <c r="O334" s="16">
        <f>M334 * $Q$4</f>
        <v>24</v>
      </c>
    </row>
    <row r="335" spans="1:15">
      <c r="A335" s="2">
        <v>334</v>
      </c>
      <c r="B335" s="4">
        <f>DAY(E335)</f>
        <v>1</v>
      </c>
      <c r="C335" s="4">
        <f>MONTH(E335)</f>
        <v>11</v>
      </c>
      <c r="D335" s="4">
        <f>YEAR(E335)</f>
        <v>2023</v>
      </c>
      <c r="E335" s="3">
        <v>45231</v>
      </c>
      <c r="F335" s="4" t="s">
        <v>365</v>
      </c>
      <c r="G335" s="4" t="s">
        <v>8</v>
      </c>
      <c r="H335" s="4">
        <v>31</v>
      </c>
      <c r="I335" s="4" t="str" cm="1">
        <f t="array" ref="I335">_xlfn.IFS(H335&lt;30, "Young Adult", H335&lt;50, "Adult", H335&gt;=50, "Senior")</f>
        <v>Adult</v>
      </c>
      <c r="J335" s="4" t="s">
        <v>4</v>
      </c>
      <c r="K335" s="4">
        <v>3</v>
      </c>
      <c r="L335" s="16">
        <v>300</v>
      </c>
      <c r="M335" s="16">
        <f xml:space="preserve"> K335 * L335</f>
        <v>900</v>
      </c>
      <c r="N335" s="16">
        <f>M335 * $Q$3</f>
        <v>13.5</v>
      </c>
      <c r="O335" s="16">
        <f>M335 * $Q$4</f>
        <v>18</v>
      </c>
    </row>
    <row r="336" spans="1:15">
      <c r="A336" s="2">
        <v>335</v>
      </c>
      <c r="B336" s="4">
        <f>DAY(E336)</f>
        <v>4</v>
      </c>
      <c r="C336" s="4">
        <f>MONTH(E336)</f>
        <v>2</v>
      </c>
      <c r="D336" s="4">
        <f>YEAR(E336)</f>
        <v>2023</v>
      </c>
      <c r="E336" s="3">
        <v>44961</v>
      </c>
      <c r="F336" s="4" t="s">
        <v>366</v>
      </c>
      <c r="G336" s="4" t="s">
        <v>7</v>
      </c>
      <c r="H336" s="4">
        <v>47</v>
      </c>
      <c r="I336" s="4" t="str" cm="1">
        <f t="array" ref="I336">_xlfn.IFS(H336&lt;30, "Young Adult", H336&lt;50, "Adult", H336&gt;=50, "Senior")</f>
        <v>Adult</v>
      </c>
      <c r="J336" s="4" t="s">
        <v>2</v>
      </c>
      <c r="K336" s="4">
        <v>4</v>
      </c>
      <c r="L336" s="16">
        <v>30</v>
      </c>
      <c r="M336" s="16">
        <f xml:space="preserve"> K336 * L336</f>
        <v>120</v>
      </c>
      <c r="N336" s="16">
        <f>M336 * $Q$3</f>
        <v>1.7999999999999998</v>
      </c>
      <c r="O336" s="16">
        <f>M336 * $Q$4</f>
        <v>2.4</v>
      </c>
    </row>
    <row r="337" spans="1:15">
      <c r="A337" s="2">
        <v>336</v>
      </c>
      <c r="B337" s="4">
        <f>DAY(E337)</f>
        <v>12</v>
      </c>
      <c r="C337" s="4">
        <f>MONTH(E337)</f>
        <v>12</v>
      </c>
      <c r="D337" s="4">
        <f>YEAR(E337)</f>
        <v>2023</v>
      </c>
      <c r="E337" s="3">
        <v>45272</v>
      </c>
      <c r="F337" s="4" t="s">
        <v>367</v>
      </c>
      <c r="G337" s="4" t="s">
        <v>7</v>
      </c>
      <c r="H337" s="4">
        <v>52</v>
      </c>
      <c r="I337" s="4" t="str" cm="1">
        <f t="array" ref="I337">_xlfn.IFS(H337&lt;30, "Young Adult", H337&lt;50, "Adult", H337&gt;=50, "Senior")</f>
        <v>Senior</v>
      </c>
      <c r="J337" s="4" t="s">
        <v>2</v>
      </c>
      <c r="K337" s="4">
        <v>3</v>
      </c>
      <c r="L337" s="16">
        <v>50</v>
      </c>
      <c r="M337" s="16">
        <f xml:space="preserve"> K337 * L337</f>
        <v>150</v>
      </c>
      <c r="N337" s="16">
        <f>M337 * $Q$3</f>
        <v>2.25</v>
      </c>
      <c r="O337" s="16">
        <f>M337 * $Q$4</f>
        <v>3</v>
      </c>
    </row>
    <row r="338" spans="1:15">
      <c r="A338" s="2">
        <v>337</v>
      </c>
      <c r="B338" s="4">
        <f>DAY(E338)</f>
        <v>1</v>
      </c>
      <c r="C338" s="4">
        <f>MONTH(E338)</f>
        <v>5</v>
      </c>
      <c r="D338" s="4">
        <f>YEAR(E338)</f>
        <v>2023</v>
      </c>
      <c r="E338" s="3">
        <v>45047</v>
      </c>
      <c r="F338" s="4" t="s">
        <v>368</v>
      </c>
      <c r="G338" s="4" t="s">
        <v>8</v>
      </c>
      <c r="H338" s="4">
        <v>38</v>
      </c>
      <c r="I338" s="4" t="str" cm="1">
        <f t="array" ref="I338">_xlfn.IFS(H338&lt;30, "Young Adult", H338&lt;50, "Adult", H338&gt;=50, "Senior")</f>
        <v>Adult</v>
      </c>
      <c r="J338" s="4" t="s">
        <v>3</v>
      </c>
      <c r="K338" s="4">
        <v>1</v>
      </c>
      <c r="L338" s="16">
        <v>500</v>
      </c>
      <c r="M338" s="16">
        <f xml:space="preserve"> K338 * L338</f>
        <v>500</v>
      </c>
      <c r="N338" s="16">
        <f>M338 * $Q$3</f>
        <v>7.5</v>
      </c>
      <c r="O338" s="16">
        <f>M338 * $Q$4</f>
        <v>10</v>
      </c>
    </row>
    <row r="339" spans="1:15">
      <c r="A339" s="2">
        <v>338</v>
      </c>
      <c r="B339" s="4">
        <f>DAY(E339)</f>
        <v>26</v>
      </c>
      <c r="C339" s="4">
        <f>MONTH(E339)</f>
        <v>7</v>
      </c>
      <c r="D339" s="4">
        <f>YEAR(E339)</f>
        <v>2023</v>
      </c>
      <c r="E339" s="3">
        <v>45133</v>
      </c>
      <c r="F339" s="4" t="s">
        <v>369</v>
      </c>
      <c r="G339" s="4" t="s">
        <v>8</v>
      </c>
      <c r="H339" s="4">
        <v>54</v>
      </c>
      <c r="I339" s="4" t="str" cm="1">
        <f t="array" ref="I339">_xlfn.IFS(H339&lt;30, "Young Adult", H339&lt;50, "Adult", H339&gt;=50, "Senior")</f>
        <v>Senior</v>
      </c>
      <c r="J339" s="4" t="s">
        <v>2</v>
      </c>
      <c r="K339" s="4">
        <v>2</v>
      </c>
      <c r="L339" s="16">
        <v>50</v>
      </c>
      <c r="M339" s="16">
        <f xml:space="preserve"> K339 * L339</f>
        <v>100</v>
      </c>
      <c r="N339" s="16">
        <f>M339 * $Q$3</f>
        <v>1.5</v>
      </c>
      <c r="O339" s="16">
        <f>M339 * $Q$4</f>
        <v>2</v>
      </c>
    </row>
    <row r="340" spans="1:15">
      <c r="A340" s="2">
        <v>339</v>
      </c>
      <c r="B340" s="4">
        <f>DAY(E340)</f>
        <v>3</v>
      </c>
      <c r="C340" s="4">
        <f>MONTH(E340)</f>
        <v>3</v>
      </c>
      <c r="D340" s="4">
        <f>YEAR(E340)</f>
        <v>2023</v>
      </c>
      <c r="E340" s="3">
        <v>44988</v>
      </c>
      <c r="F340" s="4" t="s">
        <v>370</v>
      </c>
      <c r="G340" s="4" t="s">
        <v>7</v>
      </c>
      <c r="H340" s="4">
        <v>22</v>
      </c>
      <c r="I340" s="4" t="str" cm="1">
        <f t="array" ref="I340">_xlfn.IFS(H340&lt;30, "Young Adult", H340&lt;50, "Adult", H340&gt;=50, "Senior")</f>
        <v>Young Adult</v>
      </c>
      <c r="J340" s="4" t="s">
        <v>4</v>
      </c>
      <c r="K340" s="4">
        <v>2</v>
      </c>
      <c r="L340" s="16">
        <v>25</v>
      </c>
      <c r="M340" s="16">
        <f xml:space="preserve"> K340 * L340</f>
        <v>50</v>
      </c>
      <c r="N340" s="16">
        <f>M340 * $Q$3</f>
        <v>0.75</v>
      </c>
      <c r="O340" s="16">
        <f>M340 * $Q$4</f>
        <v>1</v>
      </c>
    </row>
    <row r="341" spans="1:15">
      <c r="A341" s="2">
        <v>340</v>
      </c>
      <c r="B341" s="4">
        <f>DAY(E341)</f>
        <v>19</v>
      </c>
      <c r="C341" s="4">
        <f>MONTH(E341)</f>
        <v>10</v>
      </c>
      <c r="D341" s="4">
        <f>YEAR(E341)</f>
        <v>2023</v>
      </c>
      <c r="E341" s="3">
        <v>45218</v>
      </c>
      <c r="F341" s="4" t="s">
        <v>371</v>
      </c>
      <c r="G341" s="4" t="s">
        <v>7</v>
      </c>
      <c r="H341" s="4">
        <v>36</v>
      </c>
      <c r="I341" s="4" t="str" cm="1">
        <f t="array" ref="I341">_xlfn.IFS(H341&lt;30, "Young Adult", H341&lt;50, "Adult", H341&gt;=50, "Senior")</f>
        <v>Adult</v>
      </c>
      <c r="J341" s="4" t="s">
        <v>3</v>
      </c>
      <c r="K341" s="4">
        <v>4</v>
      </c>
      <c r="L341" s="16">
        <v>300</v>
      </c>
      <c r="M341" s="16">
        <f xml:space="preserve"> K341 * L341</f>
        <v>1200</v>
      </c>
      <c r="N341" s="16">
        <f>M341 * $Q$3</f>
        <v>18</v>
      </c>
      <c r="O341" s="16">
        <f>M341 * $Q$4</f>
        <v>24</v>
      </c>
    </row>
    <row r="342" spans="1:15">
      <c r="A342" s="2">
        <v>341</v>
      </c>
      <c r="B342" s="4">
        <f>DAY(E342)</f>
        <v>7</v>
      </c>
      <c r="C342" s="4">
        <f>MONTH(E342)</f>
        <v>5</v>
      </c>
      <c r="D342" s="4">
        <f>YEAR(E342)</f>
        <v>2023</v>
      </c>
      <c r="E342" s="3">
        <v>45053</v>
      </c>
      <c r="F342" s="4" t="s">
        <v>372</v>
      </c>
      <c r="G342" s="4" t="s">
        <v>8</v>
      </c>
      <c r="H342" s="4">
        <v>31</v>
      </c>
      <c r="I342" s="4" t="str" cm="1">
        <f t="array" ref="I342">_xlfn.IFS(H342&lt;30, "Young Adult", H342&lt;50, "Adult", H342&gt;=50, "Senior")</f>
        <v>Adult</v>
      </c>
      <c r="J342" s="4" t="s">
        <v>3</v>
      </c>
      <c r="K342" s="4">
        <v>4</v>
      </c>
      <c r="L342" s="16">
        <v>50</v>
      </c>
      <c r="M342" s="16">
        <f xml:space="preserve"> K342 * L342</f>
        <v>200</v>
      </c>
      <c r="N342" s="16">
        <f>M342 * $Q$3</f>
        <v>3</v>
      </c>
      <c r="O342" s="16">
        <f>M342 * $Q$4</f>
        <v>4</v>
      </c>
    </row>
    <row r="343" spans="1:15">
      <c r="A343" s="2">
        <v>342</v>
      </c>
      <c r="B343" s="4">
        <f>DAY(E343)</f>
        <v>24</v>
      </c>
      <c r="C343" s="4">
        <f>MONTH(E343)</f>
        <v>10</v>
      </c>
      <c r="D343" s="4">
        <f>YEAR(E343)</f>
        <v>2023</v>
      </c>
      <c r="E343" s="3">
        <v>45223</v>
      </c>
      <c r="F343" s="4" t="s">
        <v>373</v>
      </c>
      <c r="G343" s="4" t="s">
        <v>7</v>
      </c>
      <c r="H343" s="4">
        <v>43</v>
      </c>
      <c r="I343" s="4" t="str" cm="1">
        <f t="array" ref="I343">_xlfn.IFS(H343&lt;30, "Young Adult", H343&lt;50, "Adult", H343&gt;=50, "Senior")</f>
        <v>Adult</v>
      </c>
      <c r="J343" s="4" t="s">
        <v>3</v>
      </c>
      <c r="K343" s="4">
        <v>4</v>
      </c>
      <c r="L343" s="16">
        <v>500</v>
      </c>
      <c r="M343" s="16">
        <f xml:space="preserve"> K343 * L343</f>
        <v>2000</v>
      </c>
      <c r="N343" s="16">
        <f>M343 * $Q$3</f>
        <v>30</v>
      </c>
      <c r="O343" s="16">
        <f>M343 * $Q$4</f>
        <v>40</v>
      </c>
    </row>
    <row r="344" spans="1:15">
      <c r="A344" s="2">
        <v>343</v>
      </c>
      <c r="B344" s="4">
        <f>DAY(E344)</f>
        <v>1</v>
      </c>
      <c r="C344" s="4">
        <f>MONTH(E344)</f>
        <v>11</v>
      </c>
      <c r="D344" s="4">
        <f>YEAR(E344)</f>
        <v>2023</v>
      </c>
      <c r="E344" s="3">
        <v>45231</v>
      </c>
      <c r="F344" s="4" t="s">
        <v>374</v>
      </c>
      <c r="G344" s="4" t="s">
        <v>8</v>
      </c>
      <c r="H344" s="4">
        <v>21</v>
      </c>
      <c r="I344" s="4" t="str" cm="1">
        <f t="array" ref="I344">_xlfn.IFS(H344&lt;30, "Young Adult", H344&lt;50, "Adult", H344&gt;=50, "Senior")</f>
        <v>Young Adult</v>
      </c>
      <c r="J344" s="4" t="s">
        <v>4</v>
      </c>
      <c r="K344" s="4">
        <v>2</v>
      </c>
      <c r="L344" s="16">
        <v>25</v>
      </c>
      <c r="M344" s="16">
        <f xml:space="preserve"> K344 * L344</f>
        <v>50</v>
      </c>
      <c r="N344" s="16">
        <f>M344 * $Q$3</f>
        <v>0.75</v>
      </c>
      <c r="O344" s="16">
        <f>M344 * $Q$4</f>
        <v>1</v>
      </c>
    </row>
    <row r="345" spans="1:15">
      <c r="A345" s="2">
        <v>344</v>
      </c>
      <c r="B345" s="4">
        <f>DAY(E345)</f>
        <v>21</v>
      </c>
      <c r="C345" s="4">
        <f>MONTH(E345)</f>
        <v>1</v>
      </c>
      <c r="D345" s="4">
        <f>YEAR(E345)</f>
        <v>2023</v>
      </c>
      <c r="E345" s="3">
        <v>44947</v>
      </c>
      <c r="F345" s="4" t="s">
        <v>375</v>
      </c>
      <c r="G345" s="4" t="s">
        <v>7</v>
      </c>
      <c r="H345" s="4">
        <v>42</v>
      </c>
      <c r="I345" s="4" t="str" cm="1">
        <f t="array" ref="I345">_xlfn.IFS(H345&lt;30, "Young Adult", H345&lt;50, "Adult", H345&gt;=50, "Senior")</f>
        <v>Adult</v>
      </c>
      <c r="J345" s="4" t="s">
        <v>2</v>
      </c>
      <c r="K345" s="4">
        <v>1</v>
      </c>
      <c r="L345" s="16">
        <v>30</v>
      </c>
      <c r="M345" s="16">
        <f xml:space="preserve"> K345 * L345</f>
        <v>30</v>
      </c>
      <c r="N345" s="16">
        <f>M345 * $Q$3</f>
        <v>0.44999999999999996</v>
      </c>
      <c r="O345" s="16">
        <f>M345 * $Q$4</f>
        <v>0.6</v>
      </c>
    </row>
    <row r="346" spans="1:15">
      <c r="A346" s="2">
        <v>345</v>
      </c>
      <c r="B346" s="4">
        <f>DAY(E346)</f>
        <v>14</v>
      </c>
      <c r="C346" s="4">
        <f>MONTH(E346)</f>
        <v>11</v>
      </c>
      <c r="D346" s="4">
        <f>YEAR(E346)</f>
        <v>2023</v>
      </c>
      <c r="E346" s="3">
        <v>45244</v>
      </c>
      <c r="F346" s="4" t="s">
        <v>376</v>
      </c>
      <c r="G346" s="4" t="s">
        <v>8</v>
      </c>
      <c r="H346" s="4">
        <v>62</v>
      </c>
      <c r="I346" s="4" t="str" cm="1">
        <f t="array" ref="I346">_xlfn.IFS(H346&lt;30, "Young Adult", H346&lt;50, "Adult", H346&gt;=50, "Senior")</f>
        <v>Senior</v>
      </c>
      <c r="J346" s="4" t="s">
        <v>4</v>
      </c>
      <c r="K346" s="4">
        <v>1</v>
      </c>
      <c r="L346" s="16">
        <v>30</v>
      </c>
      <c r="M346" s="16">
        <f xml:space="preserve"> K346 * L346</f>
        <v>30</v>
      </c>
      <c r="N346" s="16">
        <f>M346 * $Q$3</f>
        <v>0.44999999999999996</v>
      </c>
      <c r="O346" s="16">
        <f>M346 * $Q$4</f>
        <v>0.6</v>
      </c>
    </row>
    <row r="347" spans="1:15">
      <c r="A347" s="2">
        <v>346</v>
      </c>
      <c r="B347" s="4">
        <f>DAY(E347)</f>
        <v>11</v>
      </c>
      <c r="C347" s="4">
        <f>MONTH(E347)</f>
        <v>2</v>
      </c>
      <c r="D347" s="4">
        <f>YEAR(E347)</f>
        <v>2023</v>
      </c>
      <c r="E347" s="3">
        <v>44968</v>
      </c>
      <c r="F347" s="4" t="s">
        <v>377</v>
      </c>
      <c r="G347" s="4" t="s">
        <v>8</v>
      </c>
      <c r="H347" s="4">
        <v>59</v>
      </c>
      <c r="I347" s="4" t="str" cm="1">
        <f t="array" ref="I347">_xlfn.IFS(H347&lt;30, "Young Adult", H347&lt;50, "Adult", H347&gt;=50, "Senior")</f>
        <v>Senior</v>
      </c>
      <c r="J347" s="4" t="s">
        <v>3</v>
      </c>
      <c r="K347" s="4">
        <v>2</v>
      </c>
      <c r="L347" s="16">
        <v>500</v>
      </c>
      <c r="M347" s="16">
        <f xml:space="preserve"> K347 * L347</f>
        <v>1000</v>
      </c>
      <c r="N347" s="16">
        <f>M347 * $Q$3</f>
        <v>15</v>
      </c>
      <c r="O347" s="16">
        <f>M347 * $Q$4</f>
        <v>20</v>
      </c>
    </row>
    <row r="348" spans="1:15">
      <c r="A348" s="2">
        <v>347</v>
      </c>
      <c r="B348" s="4">
        <f>DAY(E348)</f>
        <v>3</v>
      </c>
      <c r="C348" s="4">
        <f>MONTH(E348)</f>
        <v>8</v>
      </c>
      <c r="D348" s="4">
        <f>YEAR(E348)</f>
        <v>2023</v>
      </c>
      <c r="E348" s="3">
        <v>45141</v>
      </c>
      <c r="F348" s="4" t="s">
        <v>378</v>
      </c>
      <c r="G348" s="4" t="s">
        <v>8</v>
      </c>
      <c r="H348" s="4">
        <v>42</v>
      </c>
      <c r="I348" s="4" t="str" cm="1">
        <f t="array" ref="I348">_xlfn.IFS(H348&lt;30, "Young Adult", H348&lt;50, "Adult", H348&gt;=50, "Senior")</f>
        <v>Adult</v>
      </c>
      <c r="J348" s="4" t="s">
        <v>4</v>
      </c>
      <c r="K348" s="4">
        <v>1</v>
      </c>
      <c r="L348" s="16">
        <v>25</v>
      </c>
      <c r="M348" s="16">
        <f xml:space="preserve"> K348 * L348</f>
        <v>25</v>
      </c>
      <c r="N348" s="16">
        <f>M348 * $Q$3</f>
        <v>0.375</v>
      </c>
      <c r="O348" s="16">
        <f>M348 * $Q$4</f>
        <v>0.5</v>
      </c>
    </row>
    <row r="349" spans="1:15">
      <c r="A349" s="2">
        <v>348</v>
      </c>
      <c r="B349" s="4">
        <f>DAY(E349)</f>
        <v>3</v>
      </c>
      <c r="C349" s="4">
        <f>MONTH(E349)</f>
        <v>12</v>
      </c>
      <c r="D349" s="4">
        <f>YEAR(E349)</f>
        <v>2023</v>
      </c>
      <c r="E349" s="3">
        <v>45263</v>
      </c>
      <c r="F349" s="4" t="s">
        <v>379</v>
      </c>
      <c r="G349" s="4" t="s">
        <v>7</v>
      </c>
      <c r="H349" s="4">
        <v>35</v>
      </c>
      <c r="I349" s="4" t="str" cm="1">
        <f t="array" ref="I349">_xlfn.IFS(H349&lt;30, "Young Adult", H349&lt;50, "Adult", H349&gt;=50, "Senior")</f>
        <v>Adult</v>
      </c>
      <c r="J349" s="4" t="s">
        <v>4</v>
      </c>
      <c r="K349" s="4">
        <v>2</v>
      </c>
      <c r="L349" s="16">
        <v>300</v>
      </c>
      <c r="M349" s="16">
        <f xml:space="preserve"> K349 * L349</f>
        <v>600</v>
      </c>
      <c r="N349" s="16">
        <f>M349 * $Q$3</f>
        <v>9</v>
      </c>
      <c r="O349" s="16">
        <f>M349 * $Q$4</f>
        <v>12</v>
      </c>
    </row>
    <row r="350" spans="1:15">
      <c r="A350" s="2">
        <v>349</v>
      </c>
      <c r="B350" s="4">
        <f>DAY(E350)</f>
        <v>26</v>
      </c>
      <c r="C350" s="4">
        <f>MONTH(E350)</f>
        <v>10</v>
      </c>
      <c r="D350" s="4">
        <f>YEAR(E350)</f>
        <v>2023</v>
      </c>
      <c r="E350" s="3">
        <v>45225</v>
      </c>
      <c r="F350" s="4" t="s">
        <v>380</v>
      </c>
      <c r="G350" s="4" t="s">
        <v>7</v>
      </c>
      <c r="H350" s="4">
        <v>57</v>
      </c>
      <c r="I350" s="4" t="str" cm="1">
        <f t="array" ref="I350">_xlfn.IFS(H350&lt;30, "Young Adult", H350&lt;50, "Adult", H350&gt;=50, "Senior")</f>
        <v>Senior</v>
      </c>
      <c r="J350" s="4" t="s">
        <v>2</v>
      </c>
      <c r="K350" s="4">
        <v>1</v>
      </c>
      <c r="L350" s="16">
        <v>50</v>
      </c>
      <c r="M350" s="16">
        <f xml:space="preserve"> K350 * L350</f>
        <v>50</v>
      </c>
      <c r="N350" s="16">
        <f>M350 * $Q$3</f>
        <v>0.75</v>
      </c>
      <c r="O350" s="16">
        <f>M350 * $Q$4</f>
        <v>1</v>
      </c>
    </row>
    <row r="351" spans="1:15">
      <c r="A351" s="2">
        <v>350</v>
      </c>
      <c r="B351" s="4">
        <f>DAY(E351)</f>
        <v>17</v>
      </c>
      <c r="C351" s="4">
        <f>MONTH(E351)</f>
        <v>10</v>
      </c>
      <c r="D351" s="4">
        <f>YEAR(E351)</f>
        <v>2023</v>
      </c>
      <c r="E351" s="3">
        <v>45216</v>
      </c>
      <c r="F351" s="4" t="s">
        <v>381</v>
      </c>
      <c r="G351" s="4" t="s">
        <v>8</v>
      </c>
      <c r="H351" s="4">
        <v>25</v>
      </c>
      <c r="I351" s="4" t="str" cm="1">
        <f t="array" ref="I351">_xlfn.IFS(H351&lt;30, "Young Adult", H351&lt;50, "Adult", H351&gt;=50, "Senior")</f>
        <v>Young Adult</v>
      </c>
      <c r="J351" s="4" t="s">
        <v>2</v>
      </c>
      <c r="K351" s="4">
        <v>3</v>
      </c>
      <c r="L351" s="16">
        <v>25</v>
      </c>
      <c r="M351" s="16">
        <f xml:space="preserve"> K351 * L351</f>
        <v>75</v>
      </c>
      <c r="N351" s="16">
        <f>M351 * $Q$3</f>
        <v>1.125</v>
      </c>
      <c r="O351" s="16">
        <f>M351 * $Q$4</f>
        <v>1.5</v>
      </c>
    </row>
    <row r="352" spans="1:15">
      <c r="A352" s="2">
        <v>351</v>
      </c>
      <c r="B352" s="4">
        <f>DAY(E352)</f>
        <v>25</v>
      </c>
      <c r="C352" s="4">
        <f>MONTH(E352)</f>
        <v>9</v>
      </c>
      <c r="D352" s="4">
        <f>YEAR(E352)</f>
        <v>2023</v>
      </c>
      <c r="E352" s="3">
        <v>45194</v>
      </c>
      <c r="F352" s="4" t="s">
        <v>382</v>
      </c>
      <c r="G352" s="4" t="s">
        <v>7</v>
      </c>
      <c r="H352" s="4">
        <v>56</v>
      </c>
      <c r="I352" s="4" t="str" cm="1">
        <f t="array" ref="I352">_xlfn.IFS(H352&lt;30, "Young Adult", H352&lt;50, "Adult", H352&gt;=50, "Senior")</f>
        <v>Senior</v>
      </c>
      <c r="J352" s="4" t="s">
        <v>3</v>
      </c>
      <c r="K352" s="4">
        <v>3</v>
      </c>
      <c r="L352" s="16">
        <v>30</v>
      </c>
      <c r="M352" s="16">
        <f xml:space="preserve"> K352 * L352</f>
        <v>90</v>
      </c>
      <c r="N352" s="16">
        <f>M352 * $Q$3</f>
        <v>1.3499999999999999</v>
      </c>
      <c r="O352" s="16">
        <f>M352 * $Q$4</f>
        <v>1.8</v>
      </c>
    </row>
    <row r="353" spans="1:15">
      <c r="A353" s="2">
        <v>352</v>
      </c>
      <c r="B353" s="4">
        <f>DAY(E353)</f>
        <v>11</v>
      </c>
      <c r="C353" s="4">
        <f>MONTH(E353)</f>
        <v>6</v>
      </c>
      <c r="D353" s="4">
        <f>YEAR(E353)</f>
        <v>2023</v>
      </c>
      <c r="E353" s="3">
        <v>45088</v>
      </c>
      <c r="F353" s="4" t="s">
        <v>383</v>
      </c>
      <c r="G353" s="4" t="s">
        <v>8</v>
      </c>
      <c r="H353" s="4">
        <v>57</v>
      </c>
      <c r="I353" s="4" t="str" cm="1">
        <f t="array" ref="I353">_xlfn.IFS(H353&lt;30, "Young Adult", H353&lt;50, "Adult", H353&gt;=50, "Senior")</f>
        <v>Senior</v>
      </c>
      <c r="J353" s="4" t="s">
        <v>4</v>
      </c>
      <c r="K353" s="4">
        <v>2</v>
      </c>
      <c r="L353" s="16">
        <v>500</v>
      </c>
      <c r="M353" s="16">
        <f xml:space="preserve"> K353 * L353</f>
        <v>1000</v>
      </c>
      <c r="N353" s="16">
        <f>M353 * $Q$3</f>
        <v>15</v>
      </c>
      <c r="O353" s="16">
        <f>M353 * $Q$4</f>
        <v>20</v>
      </c>
    </row>
    <row r="354" spans="1:15">
      <c r="A354" s="2">
        <v>353</v>
      </c>
      <c r="B354" s="4">
        <f>DAY(E354)</f>
        <v>14</v>
      </c>
      <c r="C354" s="4">
        <f>MONTH(E354)</f>
        <v>5</v>
      </c>
      <c r="D354" s="4">
        <f>YEAR(E354)</f>
        <v>2023</v>
      </c>
      <c r="E354" s="3">
        <v>45060</v>
      </c>
      <c r="F354" s="4" t="s">
        <v>384</v>
      </c>
      <c r="G354" s="4" t="s">
        <v>8</v>
      </c>
      <c r="H354" s="4">
        <v>31</v>
      </c>
      <c r="I354" s="4" t="str" cm="1">
        <f t="array" ref="I354">_xlfn.IFS(H354&lt;30, "Young Adult", H354&lt;50, "Adult", H354&gt;=50, "Senior")</f>
        <v>Adult</v>
      </c>
      <c r="J354" s="4" t="s">
        <v>4</v>
      </c>
      <c r="K354" s="4">
        <v>1</v>
      </c>
      <c r="L354" s="16">
        <v>500</v>
      </c>
      <c r="M354" s="16">
        <f xml:space="preserve"> K354 * L354</f>
        <v>500</v>
      </c>
      <c r="N354" s="16">
        <f>M354 * $Q$3</f>
        <v>7.5</v>
      </c>
      <c r="O354" s="16">
        <f>M354 * $Q$4</f>
        <v>10</v>
      </c>
    </row>
    <row r="355" spans="1:15">
      <c r="A355" s="2">
        <v>354</v>
      </c>
      <c r="B355" s="4">
        <f>DAY(E355)</f>
        <v>15</v>
      </c>
      <c r="C355" s="4">
        <f>MONTH(E355)</f>
        <v>4</v>
      </c>
      <c r="D355" s="4">
        <f>YEAR(E355)</f>
        <v>2023</v>
      </c>
      <c r="E355" s="3">
        <v>45031</v>
      </c>
      <c r="F355" s="4" t="s">
        <v>385</v>
      </c>
      <c r="G355" s="4" t="s">
        <v>7</v>
      </c>
      <c r="H355" s="4">
        <v>49</v>
      </c>
      <c r="I355" s="4" t="str" cm="1">
        <f t="array" ref="I355">_xlfn.IFS(H355&lt;30, "Young Adult", H355&lt;50, "Adult", H355&gt;=50, "Senior")</f>
        <v>Adult</v>
      </c>
      <c r="J355" s="4" t="s">
        <v>2</v>
      </c>
      <c r="K355" s="4">
        <v>4</v>
      </c>
      <c r="L355" s="16">
        <v>50</v>
      </c>
      <c r="M355" s="16">
        <f xml:space="preserve"> K355 * L355</f>
        <v>200</v>
      </c>
      <c r="N355" s="16">
        <f>M355 * $Q$3</f>
        <v>3</v>
      </c>
      <c r="O355" s="16">
        <f>M355 * $Q$4</f>
        <v>4</v>
      </c>
    </row>
    <row r="356" spans="1:15">
      <c r="A356" s="2">
        <v>355</v>
      </c>
      <c r="B356" s="4">
        <f>DAY(E356)</f>
        <v>9</v>
      </c>
      <c r="C356" s="4">
        <f>MONTH(E356)</f>
        <v>12</v>
      </c>
      <c r="D356" s="4">
        <f>YEAR(E356)</f>
        <v>2023</v>
      </c>
      <c r="E356" s="3">
        <v>45269</v>
      </c>
      <c r="F356" s="4" t="s">
        <v>386</v>
      </c>
      <c r="G356" s="4" t="s">
        <v>7</v>
      </c>
      <c r="H356" s="4">
        <v>55</v>
      </c>
      <c r="I356" s="4" t="str" cm="1">
        <f t="array" ref="I356">_xlfn.IFS(H356&lt;30, "Young Adult", H356&lt;50, "Adult", H356&gt;=50, "Senior")</f>
        <v>Senior</v>
      </c>
      <c r="J356" s="4" t="s">
        <v>4</v>
      </c>
      <c r="K356" s="4">
        <v>1</v>
      </c>
      <c r="L356" s="16">
        <v>500</v>
      </c>
      <c r="M356" s="16">
        <f xml:space="preserve"> K356 * L356</f>
        <v>500</v>
      </c>
      <c r="N356" s="16">
        <f>M356 * $Q$3</f>
        <v>7.5</v>
      </c>
      <c r="O356" s="16">
        <f>M356 * $Q$4</f>
        <v>10</v>
      </c>
    </row>
    <row r="357" spans="1:15">
      <c r="A357" s="2">
        <v>356</v>
      </c>
      <c r="B357" s="4">
        <f>DAY(E357)</f>
        <v>10</v>
      </c>
      <c r="C357" s="4">
        <f>MONTH(E357)</f>
        <v>6</v>
      </c>
      <c r="D357" s="4">
        <f>YEAR(E357)</f>
        <v>2023</v>
      </c>
      <c r="E357" s="3">
        <v>45087</v>
      </c>
      <c r="F357" s="4" t="s">
        <v>387</v>
      </c>
      <c r="G357" s="4" t="s">
        <v>8</v>
      </c>
      <c r="H357" s="4">
        <v>50</v>
      </c>
      <c r="I357" s="4" t="str" cm="1">
        <f t="array" ref="I357">_xlfn.IFS(H357&lt;30, "Young Adult", H357&lt;50, "Adult", H357&gt;=50, "Senior")</f>
        <v>Senior</v>
      </c>
      <c r="J357" s="4" t="s">
        <v>4</v>
      </c>
      <c r="K357" s="4">
        <v>3</v>
      </c>
      <c r="L357" s="16">
        <v>500</v>
      </c>
      <c r="M357" s="16">
        <f xml:space="preserve"> K357 * L357</f>
        <v>1500</v>
      </c>
      <c r="N357" s="16">
        <f>M357 * $Q$3</f>
        <v>22.5</v>
      </c>
      <c r="O357" s="16">
        <f>M357 * $Q$4</f>
        <v>30</v>
      </c>
    </row>
    <row r="358" spans="1:15">
      <c r="A358" s="2">
        <v>357</v>
      </c>
      <c r="B358" s="4">
        <f>DAY(E358)</f>
        <v>3</v>
      </c>
      <c r="C358" s="4">
        <f>MONTH(E358)</f>
        <v>5</v>
      </c>
      <c r="D358" s="4">
        <f>YEAR(E358)</f>
        <v>2023</v>
      </c>
      <c r="E358" s="3">
        <v>45049</v>
      </c>
      <c r="F358" s="4" t="s">
        <v>388</v>
      </c>
      <c r="G358" s="4" t="s">
        <v>7</v>
      </c>
      <c r="H358" s="4">
        <v>40</v>
      </c>
      <c r="I358" s="4" t="str" cm="1">
        <f t="array" ref="I358">_xlfn.IFS(H358&lt;30, "Young Adult", H358&lt;50, "Adult", H358&gt;=50, "Senior")</f>
        <v>Adult</v>
      </c>
      <c r="J358" s="4" t="s">
        <v>4</v>
      </c>
      <c r="K358" s="4">
        <v>3</v>
      </c>
      <c r="L358" s="16">
        <v>25</v>
      </c>
      <c r="M358" s="16">
        <f xml:space="preserve"> K358 * L358</f>
        <v>75</v>
      </c>
      <c r="N358" s="16">
        <f>M358 * $Q$3</f>
        <v>1.125</v>
      </c>
      <c r="O358" s="16">
        <f>M358 * $Q$4</f>
        <v>1.5</v>
      </c>
    </row>
    <row r="359" spans="1:15">
      <c r="A359" s="2">
        <v>358</v>
      </c>
      <c r="B359" s="4">
        <f>DAY(E359)</f>
        <v>16</v>
      </c>
      <c r="C359" s="4">
        <f>MONTH(E359)</f>
        <v>5</v>
      </c>
      <c r="D359" s="4">
        <f>YEAR(E359)</f>
        <v>2023</v>
      </c>
      <c r="E359" s="3">
        <v>45062</v>
      </c>
      <c r="F359" s="4" t="s">
        <v>389</v>
      </c>
      <c r="G359" s="4" t="s">
        <v>7</v>
      </c>
      <c r="H359" s="4">
        <v>32</v>
      </c>
      <c r="I359" s="4" t="str" cm="1">
        <f t="array" ref="I359">_xlfn.IFS(H359&lt;30, "Young Adult", H359&lt;50, "Adult", H359&gt;=50, "Senior")</f>
        <v>Adult</v>
      </c>
      <c r="J359" s="4" t="s">
        <v>2</v>
      </c>
      <c r="K359" s="4">
        <v>1</v>
      </c>
      <c r="L359" s="16">
        <v>300</v>
      </c>
      <c r="M359" s="16">
        <f xml:space="preserve"> K359 * L359</f>
        <v>300</v>
      </c>
      <c r="N359" s="16">
        <f>M359 * $Q$3</f>
        <v>4.5</v>
      </c>
      <c r="O359" s="16">
        <f>M359 * $Q$4</f>
        <v>6</v>
      </c>
    </row>
    <row r="360" spans="1:15">
      <c r="A360" s="2">
        <v>359</v>
      </c>
      <c r="B360" s="4">
        <f>DAY(E360)</f>
        <v>22</v>
      </c>
      <c r="C360" s="4">
        <f>MONTH(E360)</f>
        <v>7</v>
      </c>
      <c r="D360" s="4">
        <f>YEAR(E360)</f>
        <v>2023</v>
      </c>
      <c r="E360" s="3">
        <v>45129</v>
      </c>
      <c r="F360" s="4" t="s">
        <v>390</v>
      </c>
      <c r="G360" s="4" t="s">
        <v>8</v>
      </c>
      <c r="H360" s="4">
        <v>50</v>
      </c>
      <c r="I360" s="4" t="str" cm="1">
        <f t="array" ref="I360">_xlfn.IFS(H360&lt;30, "Young Adult", H360&lt;50, "Adult", H360&gt;=50, "Senior")</f>
        <v>Senior</v>
      </c>
      <c r="J360" s="4" t="s">
        <v>3</v>
      </c>
      <c r="K360" s="4">
        <v>1</v>
      </c>
      <c r="L360" s="16">
        <v>50</v>
      </c>
      <c r="M360" s="16">
        <f xml:space="preserve"> K360 * L360</f>
        <v>50</v>
      </c>
      <c r="N360" s="16">
        <f>M360 * $Q$3</f>
        <v>0.75</v>
      </c>
      <c r="O360" s="16">
        <f>M360 * $Q$4</f>
        <v>1</v>
      </c>
    </row>
    <row r="361" spans="1:15">
      <c r="A361" s="2">
        <v>360</v>
      </c>
      <c r="B361" s="4">
        <f>DAY(E361)</f>
        <v>9</v>
      </c>
      <c r="C361" s="4">
        <f>MONTH(E361)</f>
        <v>3</v>
      </c>
      <c r="D361" s="4">
        <f>YEAR(E361)</f>
        <v>2023</v>
      </c>
      <c r="E361" s="3">
        <v>44994</v>
      </c>
      <c r="F361" s="4" t="s">
        <v>391</v>
      </c>
      <c r="G361" s="4" t="s">
        <v>8</v>
      </c>
      <c r="H361" s="4">
        <v>42</v>
      </c>
      <c r="I361" s="4" t="str" cm="1">
        <f t="array" ref="I361">_xlfn.IFS(H361&lt;30, "Young Adult", H361&lt;50, "Adult", H361&gt;=50, "Senior")</f>
        <v>Adult</v>
      </c>
      <c r="J361" s="4" t="s">
        <v>3</v>
      </c>
      <c r="K361" s="4">
        <v>4</v>
      </c>
      <c r="L361" s="16">
        <v>25</v>
      </c>
      <c r="M361" s="16">
        <f xml:space="preserve"> K361 * L361</f>
        <v>100</v>
      </c>
      <c r="N361" s="16">
        <f>M361 * $Q$3</f>
        <v>1.5</v>
      </c>
      <c r="O361" s="16">
        <f>M361 * $Q$4</f>
        <v>2</v>
      </c>
    </row>
    <row r="362" spans="1:15">
      <c r="A362" s="2">
        <v>361</v>
      </c>
      <c r="B362" s="4">
        <f>DAY(E362)</f>
        <v>10</v>
      </c>
      <c r="C362" s="4">
        <f>MONTH(E362)</f>
        <v>12</v>
      </c>
      <c r="D362" s="4">
        <f>YEAR(E362)</f>
        <v>2023</v>
      </c>
      <c r="E362" s="3">
        <v>45270</v>
      </c>
      <c r="F362" s="4" t="s">
        <v>392</v>
      </c>
      <c r="G362" s="4" t="s">
        <v>7</v>
      </c>
      <c r="H362" s="4">
        <v>34</v>
      </c>
      <c r="I362" s="4" t="str" cm="1">
        <f t="array" ref="I362">_xlfn.IFS(H362&lt;30, "Young Adult", H362&lt;50, "Adult", H362&gt;=50, "Senior")</f>
        <v>Adult</v>
      </c>
      <c r="J362" s="4" t="s">
        <v>4</v>
      </c>
      <c r="K362" s="4">
        <v>4</v>
      </c>
      <c r="L362" s="16">
        <v>300</v>
      </c>
      <c r="M362" s="16">
        <f xml:space="preserve"> K362 * L362</f>
        <v>1200</v>
      </c>
      <c r="N362" s="16">
        <f>M362 * $Q$3</f>
        <v>18</v>
      </c>
      <c r="O362" s="16">
        <f>M362 * $Q$4</f>
        <v>24</v>
      </c>
    </row>
    <row r="363" spans="1:15">
      <c r="A363" s="2">
        <v>362</v>
      </c>
      <c r="B363" s="4">
        <f>DAY(E363)</f>
        <v>27</v>
      </c>
      <c r="C363" s="4">
        <f>MONTH(E363)</f>
        <v>11</v>
      </c>
      <c r="D363" s="4">
        <f>YEAR(E363)</f>
        <v>2023</v>
      </c>
      <c r="E363" s="3">
        <v>45257</v>
      </c>
      <c r="F363" s="4" t="s">
        <v>393</v>
      </c>
      <c r="G363" s="4" t="s">
        <v>8</v>
      </c>
      <c r="H363" s="4">
        <v>50</v>
      </c>
      <c r="I363" s="4" t="str" cm="1">
        <f t="array" ref="I363">_xlfn.IFS(H363&lt;30, "Young Adult", H363&lt;50, "Adult", H363&gt;=50, "Senior")</f>
        <v>Senior</v>
      </c>
      <c r="J363" s="4" t="s">
        <v>3</v>
      </c>
      <c r="K363" s="4">
        <v>1</v>
      </c>
      <c r="L363" s="16">
        <v>25</v>
      </c>
      <c r="M363" s="16">
        <f xml:space="preserve"> K363 * L363</f>
        <v>25</v>
      </c>
      <c r="N363" s="16">
        <f>M363 * $Q$3</f>
        <v>0.375</v>
      </c>
      <c r="O363" s="16">
        <f>M363 * $Q$4</f>
        <v>0.5</v>
      </c>
    </row>
    <row r="364" spans="1:15">
      <c r="A364" s="2">
        <v>363</v>
      </c>
      <c r="B364" s="4">
        <f>DAY(E364)</f>
        <v>3</v>
      </c>
      <c r="C364" s="4">
        <f>MONTH(E364)</f>
        <v>6</v>
      </c>
      <c r="D364" s="4">
        <f>YEAR(E364)</f>
        <v>2023</v>
      </c>
      <c r="E364" s="3">
        <v>45080</v>
      </c>
      <c r="F364" s="4" t="s">
        <v>394</v>
      </c>
      <c r="G364" s="4" t="s">
        <v>8</v>
      </c>
      <c r="H364" s="4">
        <v>64</v>
      </c>
      <c r="I364" s="4" t="str" cm="1">
        <f t="array" ref="I364">_xlfn.IFS(H364&lt;30, "Young Adult", H364&lt;50, "Adult", H364&gt;=50, "Senior")</f>
        <v>Senior</v>
      </c>
      <c r="J364" s="4" t="s">
        <v>2</v>
      </c>
      <c r="K364" s="4">
        <v>1</v>
      </c>
      <c r="L364" s="16">
        <v>25</v>
      </c>
      <c r="M364" s="16">
        <f xml:space="preserve"> K364 * L364</f>
        <v>25</v>
      </c>
      <c r="N364" s="16">
        <f>M364 * $Q$3</f>
        <v>0.375</v>
      </c>
      <c r="O364" s="16">
        <f>M364 * $Q$4</f>
        <v>0.5</v>
      </c>
    </row>
    <row r="365" spans="1:15">
      <c r="A365" s="2">
        <v>364</v>
      </c>
      <c r="B365" s="4">
        <f>DAY(E365)</f>
        <v>23</v>
      </c>
      <c r="C365" s="4">
        <f>MONTH(E365)</f>
        <v>8</v>
      </c>
      <c r="D365" s="4">
        <f>YEAR(E365)</f>
        <v>2023</v>
      </c>
      <c r="E365" s="3">
        <v>45161</v>
      </c>
      <c r="F365" s="4" t="s">
        <v>395</v>
      </c>
      <c r="G365" s="4" t="s">
        <v>7</v>
      </c>
      <c r="H365" s="4">
        <v>19</v>
      </c>
      <c r="I365" s="4" t="str" cm="1">
        <f t="array" ref="I365">_xlfn.IFS(H365&lt;30, "Young Adult", H365&lt;50, "Adult", H365&gt;=50, "Senior")</f>
        <v>Young Adult</v>
      </c>
      <c r="J365" s="4" t="s">
        <v>2</v>
      </c>
      <c r="K365" s="4">
        <v>1</v>
      </c>
      <c r="L365" s="16">
        <v>500</v>
      </c>
      <c r="M365" s="16">
        <f xml:space="preserve"> K365 * L365</f>
        <v>500</v>
      </c>
      <c r="N365" s="16">
        <f>M365 * $Q$3</f>
        <v>7.5</v>
      </c>
      <c r="O365" s="16">
        <f>M365 * $Q$4</f>
        <v>10</v>
      </c>
    </row>
    <row r="366" spans="1:15">
      <c r="A366" s="2">
        <v>365</v>
      </c>
      <c r="B366" s="4">
        <f>DAY(E366)</f>
        <v>11</v>
      </c>
      <c r="C366" s="4">
        <f>MONTH(E366)</f>
        <v>6</v>
      </c>
      <c r="D366" s="4">
        <f>YEAR(E366)</f>
        <v>2023</v>
      </c>
      <c r="E366" s="3">
        <v>45088</v>
      </c>
      <c r="F366" s="4" t="s">
        <v>396</v>
      </c>
      <c r="G366" s="4" t="s">
        <v>8</v>
      </c>
      <c r="H366" s="4">
        <v>31</v>
      </c>
      <c r="I366" s="4" t="str" cm="1">
        <f t="array" ref="I366">_xlfn.IFS(H366&lt;30, "Young Adult", H366&lt;50, "Adult", H366&gt;=50, "Senior")</f>
        <v>Adult</v>
      </c>
      <c r="J366" s="4" t="s">
        <v>3</v>
      </c>
      <c r="K366" s="4">
        <v>1</v>
      </c>
      <c r="L366" s="16">
        <v>300</v>
      </c>
      <c r="M366" s="16">
        <f xml:space="preserve"> K366 * L366</f>
        <v>300</v>
      </c>
      <c r="N366" s="16">
        <f>M366 * $Q$3</f>
        <v>4.5</v>
      </c>
      <c r="O366" s="16">
        <f>M366 * $Q$4</f>
        <v>6</v>
      </c>
    </row>
    <row r="367" spans="1:15">
      <c r="A367" s="2">
        <v>366</v>
      </c>
      <c r="B367" s="4">
        <f>DAY(E367)</f>
        <v>7</v>
      </c>
      <c r="C367" s="4">
        <f>MONTH(E367)</f>
        <v>2</v>
      </c>
      <c r="D367" s="4">
        <f>YEAR(E367)</f>
        <v>2023</v>
      </c>
      <c r="E367" s="3">
        <v>44964</v>
      </c>
      <c r="F367" s="4" t="s">
        <v>397</v>
      </c>
      <c r="G367" s="4" t="s">
        <v>8</v>
      </c>
      <c r="H367" s="4">
        <v>57</v>
      </c>
      <c r="I367" s="4" t="str" cm="1">
        <f t="array" ref="I367">_xlfn.IFS(H367&lt;30, "Young Adult", H367&lt;50, "Adult", H367&gt;=50, "Senior")</f>
        <v>Senior</v>
      </c>
      <c r="J367" s="4" t="s">
        <v>3</v>
      </c>
      <c r="K367" s="4">
        <v>2</v>
      </c>
      <c r="L367" s="16">
        <v>50</v>
      </c>
      <c r="M367" s="16">
        <f xml:space="preserve"> K367 * L367</f>
        <v>100</v>
      </c>
      <c r="N367" s="16">
        <f>M367 * $Q$3</f>
        <v>1.5</v>
      </c>
      <c r="O367" s="16">
        <f>M367 * $Q$4</f>
        <v>2</v>
      </c>
    </row>
    <row r="368" spans="1:15">
      <c r="A368" s="2">
        <v>367</v>
      </c>
      <c r="B368" s="4">
        <f>DAY(E368)</f>
        <v>5</v>
      </c>
      <c r="C368" s="4">
        <f>MONTH(E368)</f>
        <v>1</v>
      </c>
      <c r="D368" s="4">
        <f>YEAR(E368)</f>
        <v>2023</v>
      </c>
      <c r="E368" s="3">
        <v>44931</v>
      </c>
      <c r="F368" s="4" t="s">
        <v>398</v>
      </c>
      <c r="G368" s="4" t="s">
        <v>7</v>
      </c>
      <c r="H368" s="4">
        <v>57</v>
      </c>
      <c r="I368" s="4" t="str" cm="1">
        <f t="array" ref="I368">_xlfn.IFS(H368&lt;30, "Young Adult", H368&lt;50, "Adult", H368&gt;=50, "Senior")</f>
        <v>Senior</v>
      </c>
      <c r="J368" s="4" t="s">
        <v>4</v>
      </c>
      <c r="K368" s="4">
        <v>1</v>
      </c>
      <c r="L368" s="16">
        <v>50</v>
      </c>
      <c r="M368" s="16">
        <f xml:space="preserve"> K368 * L368</f>
        <v>50</v>
      </c>
      <c r="N368" s="16">
        <f>M368 * $Q$3</f>
        <v>0.75</v>
      </c>
      <c r="O368" s="16">
        <f>M368 * $Q$4</f>
        <v>1</v>
      </c>
    </row>
    <row r="369" spans="1:15">
      <c r="A369" s="2">
        <v>368</v>
      </c>
      <c r="B369" s="4">
        <f>DAY(E369)</f>
        <v>23</v>
      </c>
      <c r="C369" s="4">
        <f>MONTH(E369)</f>
        <v>8</v>
      </c>
      <c r="D369" s="4">
        <f>YEAR(E369)</f>
        <v>2023</v>
      </c>
      <c r="E369" s="3">
        <v>45161</v>
      </c>
      <c r="F369" s="4" t="s">
        <v>399</v>
      </c>
      <c r="G369" s="4" t="s">
        <v>7</v>
      </c>
      <c r="H369" s="4">
        <v>56</v>
      </c>
      <c r="I369" s="4" t="str" cm="1">
        <f t="array" ref="I369">_xlfn.IFS(H369&lt;30, "Young Adult", H369&lt;50, "Adult", H369&gt;=50, "Senior")</f>
        <v>Senior</v>
      </c>
      <c r="J369" s="4" t="s">
        <v>3</v>
      </c>
      <c r="K369" s="4">
        <v>4</v>
      </c>
      <c r="L369" s="16">
        <v>300</v>
      </c>
      <c r="M369" s="16">
        <f xml:space="preserve"> K369 * L369</f>
        <v>1200</v>
      </c>
      <c r="N369" s="16">
        <f>M369 * $Q$3</f>
        <v>18</v>
      </c>
      <c r="O369" s="16">
        <f>M369 * $Q$4</f>
        <v>24</v>
      </c>
    </row>
    <row r="370" spans="1:15">
      <c r="A370" s="2">
        <v>369</v>
      </c>
      <c r="B370" s="4">
        <f>DAY(E370)</f>
        <v>15</v>
      </c>
      <c r="C370" s="4">
        <f>MONTH(E370)</f>
        <v>11</v>
      </c>
      <c r="D370" s="4">
        <f>YEAR(E370)</f>
        <v>2023</v>
      </c>
      <c r="E370" s="3">
        <v>45245</v>
      </c>
      <c r="F370" s="4" t="s">
        <v>400</v>
      </c>
      <c r="G370" s="4" t="s">
        <v>8</v>
      </c>
      <c r="H370" s="4">
        <v>23</v>
      </c>
      <c r="I370" s="4" t="str" cm="1">
        <f t="array" ref="I370">_xlfn.IFS(H370&lt;30, "Young Adult", H370&lt;50, "Adult", H370&gt;=50, "Senior")</f>
        <v>Young Adult</v>
      </c>
      <c r="J370" s="4" t="s">
        <v>4</v>
      </c>
      <c r="K370" s="4">
        <v>3</v>
      </c>
      <c r="L370" s="16">
        <v>500</v>
      </c>
      <c r="M370" s="16">
        <f xml:space="preserve"> K370 * L370</f>
        <v>1500</v>
      </c>
      <c r="N370" s="16">
        <f>M370 * $Q$3</f>
        <v>22.5</v>
      </c>
      <c r="O370" s="16">
        <f>M370 * $Q$4</f>
        <v>30</v>
      </c>
    </row>
    <row r="371" spans="1:15">
      <c r="A371" s="2">
        <v>370</v>
      </c>
      <c r="B371" s="4">
        <f>DAY(E371)</f>
        <v>16</v>
      </c>
      <c r="C371" s="4">
        <f>MONTH(E371)</f>
        <v>10</v>
      </c>
      <c r="D371" s="4">
        <f>YEAR(E371)</f>
        <v>2023</v>
      </c>
      <c r="E371" s="3">
        <v>45215</v>
      </c>
      <c r="F371" s="4" t="s">
        <v>401</v>
      </c>
      <c r="G371" s="4" t="s">
        <v>8</v>
      </c>
      <c r="H371" s="4">
        <v>23</v>
      </c>
      <c r="I371" s="4" t="str" cm="1">
        <f t="array" ref="I371">_xlfn.IFS(H371&lt;30, "Young Adult", H371&lt;50, "Adult", H371&gt;=50, "Senior")</f>
        <v>Young Adult</v>
      </c>
      <c r="J371" s="4" t="s">
        <v>4</v>
      </c>
      <c r="K371" s="4">
        <v>2</v>
      </c>
      <c r="L371" s="16">
        <v>30</v>
      </c>
      <c r="M371" s="16">
        <f xml:space="preserve"> K371 * L371</f>
        <v>60</v>
      </c>
      <c r="N371" s="16">
        <f>M371 * $Q$3</f>
        <v>0.89999999999999991</v>
      </c>
      <c r="O371" s="16">
        <f>M371 * $Q$4</f>
        <v>1.2</v>
      </c>
    </row>
    <row r="372" spans="1:15">
      <c r="A372" s="2">
        <v>371</v>
      </c>
      <c r="B372" s="4">
        <f>DAY(E372)</f>
        <v>21</v>
      </c>
      <c r="C372" s="4">
        <f>MONTH(E372)</f>
        <v>2</v>
      </c>
      <c r="D372" s="4">
        <f>YEAR(E372)</f>
        <v>2023</v>
      </c>
      <c r="E372" s="3">
        <v>44978</v>
      </c>
      <c r="F372" s="4" t="s">
        <v>402</v>
      </c>
      <c r="G372" s="4" t="s">
        <v>7</v>
      </c>
      <c r="H372" s="4">
        <v>20</v>
      </c>
      <c r="I372" s="4" t="str" cm="1">
        <f t="array" ref="I372">_xlfn.IFS(H372&lt;30, "Young Adult", H372&lt;50, "Adult", H372&gt;=50, "Senior")</f>
        <v>Young Adult</v>
      </c>
      <c r="J372" s="4" t="s">
        <v>2</v>
      </c>
      <c r="K372" s="4">
        <v>1</v>
      </c>
      <c r="L372" s="16">
        <v>25</v>
      </c>
      <c r="M372" s="16">
        <f xml:space="preserve"> K372 * L372</f>
        <v>25</v>
      </c>
      <c r="N372" s="16">
        <f>M372 * $Q$3</f>
        <v>0.375</v>
      </c>
      <c r="O372" s="16">
        <f>M372 * $Q$4</f>
        <v>0.5</v>
      </c>
    </row>
    <row r="373" spans="1:15">
      <c r="A373" s="2">
        <v>372</v>
      </c>
      <c r="B373" s="4">
        <f>DAY(E373)</f>
        <v>7</v>
      </c>
      <c r="C373" s="4">
        <f>MONTH(E373)</f>
        <v>2</v>
      </c>
      <c r="D373" s="4">
        <f>YEAR(E373)</f>
        <v>2023</v>
      </c>
      <c r="E373" s="3">
        <v>44964</v>
      </c>
      <c r="F373" s="4" t="s">
        <v>403</v>
      </c>
      <c r="G373" s="4" t="s">
        <v>7</v>
      </c>
      <c r="H373" s="4">
        <v>24</v>
      </c>
      <c r="I373" s="4" t="str" cm="1">
        <f t="array" ref="I373">_xlfn.IFS(H373&lt;30, "Young Adult", H373&lt;50, "Adult", H373&gt;=50, "Senior")</f>
        <v>Young Adult</v>
      </c>
      <c r="J373" s="4" t="s">
        <v>2</v>
      </c>
      <c r="K373" s="4">
        <v>3</v>
      </c>
      <c r="L373" s="16">
        <v>500</v>
      </c>
      <c r="M373" s="16">
        <f xml:space="preserve"> K373 * L373</f>
        <v>1500</v>
      </c>
      <c r="N373" s="16">
        <f>M373 * $Q$3</f>
        <v>22.5</v>
      </c>
      <c r="O373" s="16">
        <f>M373 * $Q$4</f>
        <v>30</v>
      </c>
    </row>
    <row r="374" spans="1:15">
      <c r="A374" s="2">
        <v>373</v>
      </c>
      <c r="B374" s="4">
        <f>DAY(E374)</f>
        <v>3</v>
      </c>
      <c r="C374" s="4">
        <f>MONTH(E374)</f>
        <v>10</v>
      </c>
      <c r="D374" s="4">
        <f>YEAR(E374)</f>
        <v>2023</v>
      </c>
      <c r="E374" s="3">
        <v>45202</v>
      </c>
      <c r="F374" s="4" t="s">
        <v>404</v>
      </c>
      <c r="G374" s="4" t="s">
        <v>7</v>
      </c>
      <c r="H374" s="4">
        <v>25</v>
      </c>
      <c r="I374" s="4" t="str" cm="1">
        <f t="array" ref="I374">_xlfn.IFS(H374&lt;30, "Young Adult", H374&lt;50, "Adult", H374&gt;=50, "Senior")</f>
        <v>Young Adult</v>
      </c>
      <c r="J374" s="4" t="s">
        <v>2</v>
      </c>
      <c r="K374" s="4">
        <v>2</v>
      </c>
      <c r="L374" s="16">
        <v>300</v>
      </c>
      <c r="M374" s="16">
        <f xml:space="preserve"> K374 * L374</f>
        <v>600</v>
      </c>
      <c r="N374" s="16">
        <f>M374 * $Q$3</f>
        <v>9</v>
      </c>
      <c r="O374" s="16">
        <f>M374 * $Q$4</f>
        <v>12</v>
      </c>
    </row>
    <row r="375" spans="1:15">
      <c r="A375" s="2">
        <v>374</v>
      </c>
      <c r="B375" s="4">
        <f>DAY(E375)</f>
        <v>20</v>
      </c>
      <c r="C375" s="4">
        <f>MONTH(E375)</f>
        <v>4</v>
      </c>
      <c r="D375" s="4">
        <f>YEAR(E375)</f>
        <v>2023</v>
      </c>
      <c r="E375" s="3">
        <v>45036</v>
      </c>
      <c r="F375" s="4" t="s">
        <v>405</v>
      </c>
      <c r="G375" s="4" t="s">
        <v>7</v>
      </c>
      <c r="H375" s="4">
        <v>59</v>
      </c>
      <c r="I375" s="4" t="str" cm="1">
        <f t="array" ref="I375">_xlfn.IFS(H375&lt;30, "Young Adult", H375&lt;50, "Adult", H375&gt;=50, "Senior")</f>
        <v>Senior</v>
      </c>
      <c r="J375" s="4" t="s">
        <v>2</v>
      </c>
      <c r="K375" s="4">
        <v>3</v>
      </c>
      <c r="L375" s="16">
        <v>25</v>
      </c>
      <c r="M375" s="16">
        <f xml:space="preserve"> K375 * L375</f>
        <v>75</v>
      </c>
      <c r="N375" s="16">
        <f>M375 * $Q$3</f>
        <v>1.125</v>
      </c>
      <c r="O375" s="16">
        <f>M375 * $Q$4</f>
        <v>1.5</v>
      </c>
    </row>
    <row r="376" spans="1:15">
      <c r="A376" s="2">
        <v>375</v>
      </c>
      <c r="B376" s="4">
        <f>DAY(E376)</f>
        <v>17</v>
      </c>
      <c r="C376" s="4">
        <f>MONTH(E376)</f>
        <v>9</v>
      </c>
      <c r="D376" s="4">
        <f>YEAR(E376)</f>
        <v>2023</v>
      </c>
      <c r="E376" s="3">
        <v>45186</v>
      </c>
      <c r="F376" s="4" t="s">
        <v>406</v>
      </c>
      <c r="G376" s="4" t="s">
        <v>8</v>
      </c>
      <c r="H376" s="4">
        <v>32</v>
      </c>
      <c r="I376" s="4" t="str" cm="1">
        <f t="array" ref="I376">_xlfn.IFS(H376&lt;30, "Young Adult", H376&lt;50, "Adult", H376&gt;=50, "Senior")</f>
        <v>Adult</v>
      </c>
      <c r="J376" s="4" t="s">
        <v>3</v>
      </c>
      <c r="K376" s="4">
        <v>1</v>
      </c>
      <c r="L376" s="16">
        <v>50</v>
      </c>
      <c r="M376" s="16">
        <f xml:space="preserve"> K376 * L376</f>
        <v>50</v>
      </c>
      <c r="N376" s="16">
        <f>M376 * $Q$3</f>
        <v>0.75</v>
      </c>
      <c r="O376" s="16">
        <f>M376 * $Q$4</f>
        <v>1</v>
      </c>
    </row>
    <row r="377" spans="1:15">
      <c r="A377" s="2">
        <v>376</v>
      </c>
      <c r="B377" s="4">
        <f>DAY(E377)</f>
        <v>16</v>
      </c>
      <c r="C377" s="4">
        <f>MONTH(E377)</f>
        <v>5</v>
      </c>
      <c r="D377" s="4">
        <f>YEAR(E377)</f>
        <v>2023</v>
      </c>
      <c r="E377" s="3">
        <v>45062</v>
      </c>
      <c r="F377" s="4" t="s">
        <v>407</v>
      </c>
      <c r="G377" s="4" t="s">
        <v>7</v>
      </c>
      <c r="H377" s="4">
        <v>64</v>
      </c>
      <c r="I377" s="4" t="str" cm="1">
        <f t="array" ref="I377">_xlfn.IFS(H377&lt;30, "Young Adult", H377&lt;50, "Adult", H377&gt;=50, "Senior")</f>
        <v>Senior</v>
      </c>
      <c r="J377" s="4" t="s">
        <v>2</v>
      </c>
      <c r="K377" s="4">
        <v>1</v>
      </c>
      <c r="L377" s="16">
        <v>30</v>
      </c>
      <c r="M377" s="16">
        <f xml:space="preserve"> K377 * L377</f>
        <v>30</v>
      </c>
      <c r="N377" s="16">
        <f>M377 * $Q$3</f>
        <v>0.44999999999999996</v>
      </c>
      <c r="O377" s="16">
        <f>M377 * $Q$4</f>
        <v>0.6</v>
      </c>
    </row>
    <row r="378" spans="1:15">
      <c r="A378" s="2">
        <v>377</v>
      </c>
      <c r="B378" s="4">
        <f>DAY(E378)</f>
        <v>9</v>
      </c>
      <c r="C378" s="4">
        <f>MONTH(E378)</f>
        <v>3</v>
      </c>
      <c r="D378" s="4">
        <f>YEAR(E378)</f>
        <v>2023</v>
      </c>
      <c r="E378" s="3">
        <v>44994</v>
      </c>
      <c r="F378" s="4" t="s">
        <v>408</v>
      </c>
      <c r="G378" s="4" t="s">
        <v>7</v>
      </c>
      <c r="H378" s="4">
        <v>46</v>
      </c>
      <c r="I378" s="4" t="str" cm="1">
        <f t="array" ref="I378">_xlfn.IFS(H378&lt;30, "Young Adult", H378&lt;50, "Adult", H378&gt;=50, "Senior")</f>
        <v>Adult</v>
      </c>
      <c r="J378" s="4" t="s">
        <v>3</v>
      </c>
      <c r="K378" s="4">
        <v>4</v>
      </c>
      <c r="L378" s="16">
        <v>50</v>
      </c>
      <c r="M378" s="16">
        <f xml:space="preserve"> K378 * L378</f>
        <v>200</v>
      </c>
      <c r="N378" s="16">
        <f>M378 * $Q$3</f>
        <v>3</v>
      </c>
      <c r="O378" s="16">
        <f>M378 * $Q$4</f>
        <v>4</v>
      </c>
    </row>
    <row r="379" spans="1:15">
      <c r="A379" s="2">
        <v>378</v>
      </c>
      <c r="B379" s="4">
        <f>DAY(E379)</f>
        <v>28</v>
      </c>
      <c r="C379" s="4">
        <f>MONTH(E379)</f>
        <v>6</v>
      </c>
      <c r="D379" s="4">
        <f>YEAR(E379)</f>
        <v>2023</v>
      </c>
      <c r="E379" s="3">
        <v>45105</v>
      </c>
      <c r="F379" s="4" t="s">
        <v>409</v>
      </c>
      <c r="G379" s="4" t="s">
        <v>8</v>
      </c>
      <c r="H379" s="4">
        <v>50</v>
      </c>
      <c r="I379" s="4" t="str" cm="1">
        <f t="array" ref="I379">_xlfn.IFS(H379&lt;30, "Young Adult", H379&lt;50, "Adult", H379&gt;=50, "Senior")</f>
        <v>Senior</v>
      </c>
      <c r="J379" s="4" t="s">
        <v>2</v>
      </c>
      <c r="K379" s="4">
        <v>1</v>
      </c>
      <c r="L379" s="16">
        <v>300</v>
      </c>
      <c r="M379" s="16">
        <f xml:space="preserve"> K379 * L379</f>
        <v>300</v>
      </c>
      <c r="N379" s="16">
        <f>M379 * $Q$3</f>
        <v>4.5</v>
      </c>
      <c r="O379" s="16">
        <f>M379 * $Q$4</f>
        <v>6</v>
      </c>
    </row>
    <row r="380" spans="1:15">
      <c r="A380" s="2">
        <v>379</v>
      </c>
      <c r="B380" s="4">
        <f>DAY(E380)</f>
        <v>5</v>
      </c>
      <c r="C380" s="4">
        <f>MONTH(E380)</f>
        <v>2</v>
      </c>
      <c r="D380" s="4">
        <f>YEAR(E380)</f>
        <v>2023</v>
      </c>
      <c r="E380" s="3">
        <v>44962</v>
      </c>
      <c r="F380" s="4" t="s">
        <v>410</v>
      </c>
      <c r="G380" s="4" t="s">
        <v>7</v>
      </c>
      <c r="H380" s="4">
        <v>47</v>
      </c>
      <c r="I380" s="4" t="str" cm="1">
        <f t="array" ref="I380">_xlfn.IFS(H380&lt;30, "Young Adult", H380&lt;50, "Adult", H380&gt;=50, "Senior")</f>
        <v>Adult</v>
      </c>
      <c r="J380" s="4" t="s">
        <v>3</v>
      </c>
      <c r="K380" s="4">
        <v>1</v>
      </c>
      <c r="L380" s="16">
        <v>25</v>
      </c>
      <c r="M380" s="16">
        <f xml:space="preserve"> K380 * L380</f>
        <v>25</v>
      </c>
      <c r="N380" s="16">
        <f>M380 * $Q$3</f>
        <v>0.375</v>
      </c>
      <c r="O380" s="16">
        <f>M380 * $Q$4</f>
        <v>0.5</v>
      </c>
    </row>
    <row r="381" spans="1:15">
      <c r="A381" s="2">
        <v>380</v>
      </c>
      <c r="B381" s="4">
        <f>DAY(E381)</f>
        <v>6</v>
      </c>
      <c r="C381" s="4">
        <f>MONTH(E381)</f>
        <v>5</v>
      </c>
      <c r="D381" s="4">
        <f>YEAR(E381)</f>
        <v>2023</v>
      </c>
      <c r="E381" s="3">
        <v>45052</v>
      </c>
      <c r="F381" s="4" t="s">
        <v>411</v>
      </c>
      <c r="G381" s="4" t="s">
        <v>8</v>
      </c>
      <c r="H381" s="4">
        <v>56</v>
      </c>
      <c r="I381" s="4" t="str" cm="1">
        <f t="array" ref="I381">_xlfn.IFS(H381&lt;30, "Young Adult", H381&lt;50, "Adult", H381&gt;=50, "Senior")</f>
        <v>Senior</v>
      </c>
      <c r="J381" s="4" t="s">
        <v>4</v>
      </c>
      <c r="K381" s="4">
        <v>2</v>
      </c>
      <c r="L381" s="16">
        <v>300</v>
      </c>
      <c r="M381" s="16">
        <f xml:space="preserve"> K381 * L381</f>
        <v>600</v>
      </c>
      <c r="N381" s="16">
        <f>M381 * $Q$3</f>
        <v>9</v>
      </c>
      <c r="O381" s="16">
        <f>M381 * $Q$4</f>
        <v>12</v>
      </c>
    </row>
    <row r="382" spans="1:15">
      <c r="A382" s="2">
        <v>381</v>
      </c>
      <c r="B382" s="4">
        <f>DAY(E382)</f>
        <v>9</v>
      </c>
      <c r="C382" s="4">
        <f>MONTH(E382)</f>
        <v>7</v>
      </c>
      <c r="D382" s="4">
        <f>YEAR(E382)</f>
        <v>2023</v>
      </c>
      <c r="E382" s="3">
        <v>45116</v>
      </c>
      <c r="F382" s="4" t="s">
        <v>412</v>
      </c>
      <c r="G382" s="4" t="s">
        <v>7</v>
      </c>
      <c r="H382" s="4">
        <v>44</v>
      </c>
      <c r="I382" s="4" t="str" cm="1">
        <f t="array" ref="I382">_xlfn.IFS(H382&lt;30, "Young Adult", H382&lt;50, "Adult", H382&gt;=50, "Senior")</f>
        <v>Adult</v>
      </c>
      <c r="J382" s="4" t="s">
        <v>3</v>
      </c>
      <c r="K382" s="4">
        <v>4</v>
      </c>
      <c r="L382" s="16">
        <v>25</v>
      </c>
      <c r="M382" s="16">
        <f xml:space="preserve"> K382 * L382</f>
        <v>100</v>
      </c>
      <c r="N382" s="16">
        <f>M382 * $Q$3</f>
        <v>1.5</v>
      </c>
      <c r="O382" s="16">
        <f>M382 * $Q$4</f>
        <v>2</v>
      </c>
    </row>
    <row r="383" spans="1:15">
      <c r="A383" s="2">
        <v>382</v>
      </c>
      <c r="B383" s="4">
        <f>DAY(E383)</f>
        <v>26</v>
      </c>
      <c r="C383" s="4">
        <f>MONTH(E383)</f>
        <v>5</v>
      </c>
      <c r="D383" s="4">
        <f>YEAR(E383)</f>
        <v>2023</v>
      </c>
      <c r="E383" s="3">
        <v>45072</v>
      </c>
      <c r="F383" s="4" t="s">
        <v>413</v>
      </c>
      <c r="G383" s="4" t="s">
        <v>7</v>
      </c>
      <c r="H383" s="4">
        <v>53</v>
      </c>
      <c r="I383" s="4" t="str" cm="1">
        <f t="array" ref="I383">_xlfn.IFS(H383&lt;30, "Young Adult", H383&lt;50, "Adult", H383&gt;=50, "Senior")</f>
        <v>Senior</v>
      </c>
      <c r="J383" s="4" t="s">
        <v>3</v>
      </c>
      <c r="K383" s="4">
        <v>2</v>
      </c>
      <c r="L383" s="16">
        <v>500</v>
      </c>
      <c r="M383" s="16">
        <f xml:space="preserve"> K383 * L383</f>
        <v>1000</v>
      </c>
      <c r="N383" s="16">
        <f>M383 * $Q$3</f>
        <v>15</v>
      </c>
      <c r="O383" s="16">
        <f>M383 * $Q$4</f>
        <v>20</v>
      </c>
    </row>
    <row r="384" spans="1:15">
      <c r="A384" s="2">
        <v>383</v>
      </c>
      <c r="B384" s="4">
        <f>DAY(E384)</f>
        <v>22</v>
      </c>
      <c r="C384" s="4">
        <f>MONTH(E384)</f>
        <v>3</v>
      </c>
      <c r="D384" s="4">
        <f>YEAR(E384)</f>
        <v>2023</v>
      </c>
      <c r="E384" s="3">
        <v>45007</v>
      </c>
      <c r="F384" s="4" t="s">
        <v>414</v>
      </c>
      <c r="G384" s="4" t="s">
        <v>7</v>
      </c>
      <c r="H384" s="4">
        <v>46</v>
      </c>
      <c r="I384" s="4" t="str" cm="1">
        <f t="array" ref="I384">_xlfn.IFS(H384&lt;30, "Young Adult", H384&lt;50, "Adult", H384&gt;=50, "Senior")</f>
        <v>Adult</v>
      </c>
      <c r="J384" s="4" t="s">
        <v>2</v>
      </c>
      <c r="K384" s="4">
        <v>3</v>
      </c>
      <c r="L384" s="16">
        <v>30</v>
      </c>
      <c r="M384" s="16">
        <f xml:space="preserve"> K384 * L384</f>
        <v>90</v>
      </c>
      <c r="N384" s="16">
        <f>M384 * $Q$3</f>
        <v>1.3499999999999999</v>
      </c>
      <c r="O384" s="16">
        <f>M384 * $Q$4</f>
        <v>1.8</v>
      </c>
    </row>
    <row r="385" spans="1:15">
      <c r="A385" s="2">
        <v>384</v>
      </c>
      <c r="B385" s="4">
        <f>DAY(E385)</f>
        <v>13</v>
      </c>
      <c r="C385" s="4">
        <f>MONTH(E385)</f>
        <v>8</v>
      </c>
      <c r="D385" s="4">
        <f>YEAR(E385)</f>
        <v>2023</v>
      </c>
      <c r="E385" s="3">
        <v>45151</v>
      </c>
      <c r="F385" s="4" t="s">
        <v>415</v>
      </c>
      <c r="G385" s="4" t="s">
        <v>8</v>
      </c>
      <c r="H385" s="4">
        <v>55</v>
      </c>
      <c r="I385" s="4" t="str" cm="1">
        <f t="array" ref="I385">_xlfn.IFS(H385&lt;30, "Young Adult", H385&lt;50, "Adult", H385&gt;=50, "Senior")</f>
        <v>Senior</v>
      </c>
      <c r="J385" s="4" t="s">
        <v>3</v>
      </c>
      <c r="K385" s="4">
        <v>1</v>
      </c>
      <c r="L385" s="16">
        <v>500</v>
      </c>
      <c r="M385" s="16">
        <f xml:space="preserve"> K385 * L385</f>
        <v>500</v>
      </c>
      <c r="N385" s="16">
        <f>M385 * $Q$3</f>
        <v>7.5</v>
      </c>
      <c r="O385" s="16">
        <f>M385 * $Q$4</f>
        <v>10</v>
      </c>
    </row>
    <row r="386" spans="1:15">
      <c r="A386" s="2">
        <v>385</v>
      </c>
      <c r="B386" s="4">
        <f>DAY(E386)</f>
        <v>6</v>
      </c>
      <c r="C386" s="4">
        <f>MONTH(E386)</f>
        <v>10</v>
      </c>
      <c r="D386" s="4">
        <f>YEAR(E386)</f>
        <v>2023</v>
      </c>
      <c r="E386" s="3">
        <v>45205</v>
      </c>
      <c r="F386" s="4" t="s">
        <v>416</v>
      </c>
      <c r="G386" s="4" t="s">
        <v>8</v>
      </c>
      <c r="H386" s="4">
        <v>50</v>
      </c>
      <c r="I386" s="4" t="str" cm="1">
        <f t="array" ref="I386">_xlfn.IFS(H386&lt;30, "Young Adult", H386&lt;50, "Adult", H386&gt;=50, "Senior")</f>
        <v>Senior</v>
      </c>
      <c r="J386" s="4" t="s">
        <v>4</v>
      </c>
      <c r="K386" s="4">
        <v>3</v>
      </c>
      <c r="L386" s="16">
        <v>500</v>
      </c>
      <c r="M386" s="16">
        <f xml:space="preserve"> K386 * L386</f>
        <v>1500</v>
      </c>
      <c r="N386" s="16">
        <f>M386 * $Q$3</f>
        <v>22.5</v>
      </c>
      <c r="O386" s="16">
        <f>M386 * $Q$4</f>
        <v>30</v>
      </c>
    </row>
    <row r="387" spans="1:15">
      <c r="A387" s="2">
        <v>386</v>
      </c>
      <c r="B387" s="4">
        <f>DAY(E387)</f>
        <v>27</v>
      </c>
      <c r="C387" s="4">
        <f>MONTH(E387)</f>
        <v>12</v>
      </c>
      <c r="D387" s="4">
        <f>YEAR(E387)</f>
        <v>2023</v>
      </c>
      <c r="E387" s="3">
        <v>45287</v>
      </c>
      <c r="F387" s="4" t="s">
        <v>417</v>
      </c>
      <c r="G387" s="4" t="s">
        <v>7</v>
      </c>
      <c r="H387" s="4">
        <v>54</v>
      </c>
      <c r="I387" s="4" t="str" cm="1">
        <f t="array" ref="I387">_xlfn.IFS(H387&lt;30, "Young Adult", H387&lt;50, "Adult", H387&gt;=50, "Senior")</f>
        <v>Senior</v>
      </c>
      <c r="J387" s="4" t="s">
        <v>4</v>
      </c>
      <c r="K387" s="4">
        <v>2</v>
      </c>
      <c r="L387" s="16">
        <v>300</v>
      </c>
      <c r="M387" s="16">
        <f xml:space="preserve"> K387 * L387</f>
        <v>600</v>
      </c>
      <c r="N387" s="16">
        <f>M387 * $Q$3</f>
        <v>9</v>
      </c>
      <c r="O387" s="16">
        <f>M387 * $Q$4</f>
        <v>12</v>
      </c>
    </row>
    <row r="388" spans="1:15">
      <c r="A388" s="2">
        <v>387</v>
      </c>
      <c r="B388" s="4">
        <f>DAY(E388)</f>
        <v>4</v>
      </c>
      <c r="C388" s="4">
        <f>MONTH(E388)</f>
        <v>6</v>
      </c>
      <c r="D388" s="4">
        <f>YEAR(E388)</f>
        <v>2023</v>
      </c>
      <c r="E388" s="3">
        <v>45081</v>
      </c>
      <c r="F388" s="4" t="s">
        <v>418</v>
      </c>
      <c r="G388" s="4" t="s">
        <v>8</v>
      </c>
      <c r="H388" s="4">
        <v>44</v>
      </c>
      <c r="I388" s="4" t="str" cm="1">
        <f t="array" ref="I388">_xlfn.IFS(H388&lt;30, "Young Adult", H388&lt;50, "Adult", H388&gt;=50, "Senior")</f>
        <v>Adult</v>
      </c>
      <c r="J388" s="4" t="s">
        <v>2</v>
      </c>
      <c r="K388" s="4">
        <v>1</v>
      </c>
      <c r="L388" s="16">
        <v>30</v>
      </c>
      <c r="M388" s="16">
        <f xml:space="preserve"> K388 * L388</f>
        <v>30</v>
      </c>
      <c r="N388" s="16">
        <f>M388 * $Q$3</f>
        <v>0.44999999999999996</v>
      </c>
      <c r="O388" s="16">
        <f>M388 * $Q$4</f>
        <v>0.6</v>
      </c>
    </row>
    <row r="389" spans="1:15">
      <c r="A389" s="2">
        <v>388</v>
      </c>
      <c r="B389" s="4">
        <f>DAY(E389)</f>
        <v>10</v>
      </c>
      <c r="C389" s="4">
        <f>MONTH(E389)</f>
        <v>11</v>
      </c>
      <c r="D389" s="4">
        <f>YEAR(E389)</f>
        <v>2023</v>
      </c>
      <c r="E389" s="3">
        <v>45240</v>
      </c>
      <c r="F389" s="4" t="s">
        <v>419</v>
      </c>
      <c r="G389" s="4" t="s">
        <v>8</v>
      </c>
      <c r="H389" s="4">
        <v>50</v>
      </c>
      <c r="I389" s="4" t="str" cm="1">
        <f t="array" ref="I389">_xlfn.IFS(H389&lt;30, "Young Adult", H389&lt;50, "Adult", H389&gt;=50, "Senior")</f>
        <v>Senior</v>
      </c>
      <c r="J389" s="4" t="s">
        <v>4</v>
      </c>
      <c r="K389" s="4">
        <v>1</v>
      </c>
      <c r="L389" s="16">
        <v>25</v>
      </c>
      <c r="M389" s="16">
        <f xml:space="preserve"> K389 * L389</f>
        <v>25</v>
      </c>
      <c r="N389" s="16">
        <f>M389 * $Q$3</f>
        <v>0.375</v>
      </c>
      <c r="O389" s="16">
        <f>M389 * $Q$4</f>
        <v>0.5</v>
      </c>
    </row>
    <row r="390" spans="1:15">
      <c r="A390" s="2">
        <v>389</v>
      </c>
      <c r="B390" s="4">
        <f>DAY(E390)</f>
        <v>1</v>
      </c>
      <c r="C390" s="4">
        <f>MONTH(E390)</f>
        <v>12</v>
      </c>
      <c r="D390" s="4">
        <f>YEAR(E390)</f>
        <v>2023</v>
      </c>
      <c r="E390" s="3">
        <v>45261</v>
      </c>
      <c r="F390" s="4" t="s">
        <v>420</v>
      </c>
      <c r="G390" s="4" t="s">
        <v>8</v>
      </c>
      <c r="H390" s="4">
        <v>21</v>
      </c>
      <c r="I390" s="4" t="str" cm="1">
        <f t="array" ref="I390">_xlfn.IFS(H390&lt;30, "Young Adult", H390&lt;50, "Adult", H390&gt;=50, "Senior")</f>
        <v>Young Adult</v>
      </c>
      <c r="J390" s="4" t="s">
        <v>3</v>
      </c>
      <c r="K390" s="4">
        <v>2</v>
      </c>
      <c r="L390" s="16">
        <v>25</v>
      </c>
      <c r="M390" s="16">
        <f xml:space="preserve"> K390 * L390</f>
        <v>50</v>
      </c>
      <c r="N390" s="16">
        <f>M390 * $Q$3</f>
        <v>0.75</v>
      </c>
      <c r="O390" s="16">
        <f>M390 * $Q$4</f>
        <v>1</v>
      </c>
    </row>
    <row r="391" spans="1:15">
      <c r="A391" s="2">
        <v>390</v>
      </c>
      <c r="B391" s="4">
        <f>DAY(E391)</f>
        <v>28</v>
      </c>
      <c r="C391" s="4">
        <f>MONTH(E391)</f>
        <v>9</v>
      </c>
      <c r="D391" s="4">
        <f>YEAR(E391)</f>
        <v>2023</v>
      </c>
      <c r="E391" s="3">
        <v>45197</v>
      </c>
      <c r="F391" s="4" t="s">
        <v>421</v>
      </c>
      <c r="G391" s="4" t="s">
        <v>8</v>
      </c>
      <c r="H391" s="4">
        <v>39</v>
      </c>
      <c r="I391" s="4" t="str" cm="1">
        <f t="array" ref="I391">_xlfn.IFS(H391&lt;30, "Young Adult", H391&lt;50, "Adult", H391&gt;=50, "Senior")</f>
        <v>Adult</v>
      </c>
      <c r="J391" s="4" t="s">
        <v>4</v>
      </c>
      <c r="K391" s="4">
        <v>2</v>
      </c>
      <c r="L391" s="16">
        <v>50</v>
      </c>
      <c r="M391" s="16">
        <f xml:space="preserve"> K391 * L391</f>
        <v>100</v>
      </c>
      <c r="N391" s="16">
        <f>M391 * $Q$3</f>
        <v>1.5</v>
      </c>
      <c r="O391" s="16">
        <f>M391 * $Q$4</f>
        <v>2</v>
      </c>
    </row>
    <row r="392" spans="1:15">
      <c r="A392" s="2">
        <v>391</v>
      </c>
      <c r="B392" s="4">
        <f>DAY(E392)</f>
        <v>5</v>
      </c>
      <c r="C392" s="4">
        <f>MONTH(E392)</f>
        <v>1</v>
      </c>
      <c r="D392" s="4">
        <f>YEAR(E392)</f>
        <v>2023</v>
      </c>
      <c r="E392" s="3">
        <v>44931</v>
      </c>
      <c r="F392" s="4" t="s">
        <v>422</v>
      </c>
      <c r="G392" s="4" t="s">
        <v>8</v>
      </c>
      <c r="H392" s="4">
        <v>19</v>
      </c>
      <c r="I392" s="4" t="str" cm="1">
        <f t="array" ref="I392">_xlfn.IFS(H392&lt;30, "Young Adult", H392&lt;50, "Adult", H392&gt;=50, "Senior")</f>
        <v>Young Adult</v>
      </c>
      <c r="J392" s="4" t="s">
        <v>2</v>
      </c>
      <c r="K392" s="4">
        <v>2</v>
      </c>
      <c r="L392" s="16">
        <v>25</v>
      </c>
      <c r="M392" s="16">
        <f xml:space="preserve"> K392 * L392</f>
        <v>50</v>
      </c>
      <c r="N392" s="16">
        <f>M392 * $Q$3</f>
        <v>0.75</v>
      </c>
      <c r="O392" s="16">
        <f>M392 * $Q$4</f>
        <v>1</v>
      </c>
    </row>
    <row r="393" spans="1:15">
      <c r="A393" s="2">
        <v>392</v>
      </c>
      <c r="B393" s="4">
        <f>DAY(E393)</f>
        <v>8</v>
      </c>
      <c r="C393" s="4">
        <f>MONTH(E393)</f>
        <v>12</v>
      </c>
      <c r="D393" s="4">
        <f>YEAR(E393)</f>
        <v>2023</v>
      </c>
      <c r="E393" s="3">
        <v>45268</v>
      </c>
      <c r="F393" s="4" t="s">
        <v>423</v>
      </c>
      <c r="G393" s="4" t="s">
        <v>8</v>
      </c>
      <c r="H393" s="4">
        <v>27</v>
      </c>
      <c r="I393" s="4" t="str" cm="1">
        <f t="array" ref="I393">_xlfn.IFS(H393&lt;30, "Young Adult", H393&lt;50, "Adult", H393&gt;=50, "Senior")</f>
        <v>Young Adult</v>
      </c>
      <c r="J393" s="4" t="s">
        <v>3</v>
      </c>
      <c r="K393" s="4">
        <v>2</v>
      </c>
      <c r="L393" s="16">
        <v>300</v>
      </c>
      <c r="M393" s="16">
        <f xml:space="preserve"> K393 * L393</f>
        <v>600</v>
      </c>
      <c r="N393" s="16">
        <f>M393 * $Q$3</f>
        <v>9</v>
      </c>
      <c r="O393" s="16">
        <f>M393 * $Q$4</f>
        <v>12</v>
      </c>
    </row>
    <row r="394" spans="1:15">
      <c r="A394" s="2">
        <v>393</v>
      </c>
      <c r="B394" s="4">
        <f>DAY(E394)</f>
        <v>11</v>
      </c>
      <c r="C394" s="4">
        <f>MONTH(E394)</f>
        <v>10</v>
      </c>
      <c r="D394" s="4">
        <f>YEAR(E394)</f>
        <v>2023</v>
      </c>
      <c r="E394" s="3">
        <v>45210</v>
      </c>
      <c r="F394" s="4" t="s">
        <v>424</v>
      </c>
      <c r="G394" s="4" t="s">
        <v>7</v>
      </c>
      <c r="H394" s="4">
        <v>22</v>
      </c>
      <c r="I394" s="4" t="str" cm="1">
        <f t="array" ref="I394">_xlfn.IFS(H394&lt;30, "Young Adult", H394&lt;50, "Adult", H394&gt;=50, "Senior")</f>
        <v>Young Adult</v>
      </c>
      <c r="J394" s="4" t="s">
        <v>2</v>
      </c>
      <c r="K394" s="4">
        <v>2</v>
      </c>
      <c r="L394" s="16">
        <v>500</v>
      </c>
      <c r="M394" s="16">
        <f xml:space="preserve"> K394 * L394</f>
        <v>1000</v>
      </c>
      <c r="N394" s="16">
        <f>M394 * $Q$3</f>
        <v>15</v>
      </c>
      <c r="O394" s="16">
        <f>M394 * $Q$4</f>
        <v>20</v>
      </c>
    </row>
    <row r="395" spans="1:15">
      <c r="A395" s="2">
        <v>394</v>
      </c>
      <c r="B395" s="4">
        <f>DAY(E395)</f>
        <v>3</v>
      </c>
      <c r="C395" s="4">
        <f>MONTH(E395)</f>
        <v>6</v>
      </c>
      <c r="D395" s="4">
        <f>YEAR(E395)</f>
        <v>2023</v>
      </c>
      <c r="E395" s="3">
        <v>45080</v>
      </c>
      <c r="F395" s="4" t="s">
        <v>425</v>
      </c>
      <c r="G395" s="4" t="s">
        <v>7</v>
      </c>
      <c r="H395" s="4">
        <v>27</v>
      </c>
      <c r="I395" s="4" t="str" cm="1">
        <f t="array" ref="I395">_xlfn.IFS(H395&lt;30, "Young Adult", H395&lt;50, "Adult", H395&gt;=50, "Senior")</f>
        <v>Young Adult</v>
      </c>
      <c r="J395" s="4" t="s">
        <v>3</v>
      </c>
      <c r="K395" s="4">
        <v>1</v>
      </c>
      <c r="L395" s="16">
        <v>500</v>
      </c>
      <c r="M395" s="16">
        <f xml:space="preserve"> K395 * L395</f>
        <v>500</v>
      </c>
      <c r="N395" s="16">
        <f>M395 * $Q$3</f>
        <v>7.5</v>
      </c>
      <c r="O395" s="16">
        <f>M395 * $Q$4</f>
        <v>10</v>
      </c>
    </row>
    <row r="396" spans="1:15">
      <c r="A396" s="2">
        <v>395</v>
      </c>
      <c r="B396" s="4">
        <f>DAY(E396)</f>
        <v>6</v>
      </c>
      <c r="C396" s="4">
        <f>MONTH(E396)</f>
        <v>12</v>
      </c>
      <c r="D396" s="4">
        <f>YEAR(E396)</f>
        <v>2023</v>
      </c>
      <c r="E396" s="3">
        <v>45266</v>
      </c>
      <c r="F396" s="4" t="s">
        <v>426</v>
      </c>
      <c r="G396" s="4" t="s">
        <v>8</v>
      </c>
      <c r="H396" s="4">
        <v>50</v>
      </c>
      <c r="I396" s="4" t="str" cm="1">
        <f t="array" ref="I396">_xlfn.IFS(H396&lt;30, "Young Adult", H396&lt;50, "Adult", H396&gt;=50, "Senior")</f>
        <v>Senior</v>
      </c>
      <c r="J396" s="4" t="s">
        <v>4</v>
      </c>
      <c r="K396" s="4">
        <v>2</v>
      </c>
      <c r="L396" s="16">
        <v>500</v>
      </c>
      <c r="M396" s="16">
        <f xml:space="preserve"> K396 * L396</f>
        <v>1000</v>
      </c>
      <c r="N396" s="16">
        <f>M396 * $Q$3</f>
        <v>15</v>
      </c>
      <c r="O396" s="16">
        <f>M396 * $Q$4</f>
        <v>20</v>
      </c>
    </row>
    <row r="397" spans="1:15">
      <c r="A397" s="2">
        <v>396</v>
      </c>
      <c r="B397" s="4">
        <f>DAY(E397)</f>
        <v>23</v>
      </c>
      <c r="C397" s="4">
        <f>MONTH(E397)</f>
        <v>2</v>
      </c>
      <c r="D397" s="4">
        <f>YEAR(E397)</f>
        <v>2023</v>
      </c>
      <c r="E397" s="3">
        <v>44980</v>
      </c>
      <c r="F397" s="4" t="s">
        <v>427</v>
      </c>
      <c r="G397" s="4" t="s">
        <v>7</v>
      </c>
      <c r="H397" s="4">
        <v>55</v>
      </c>
      <c r="I397" s="4" t="str" cm="1">
        <f t="array" ref="I397">_xlfn.IFS(H397&lt;30, "Young Adult", H397&lt;50, "Adult", H397&gt;=50, "Senior")</f>
        <v>Senior</v>
      </c>
      <c r="J397" s="4" t="s">
        <v>2</v>
      </c>
      <c r="K397" s="4">
        <v>1</v>
      </c>
      <c r="L397" s="16">
        <v>30</v>
      </c>
      <c r="M397" s="16">
        <f xml:space="preserve"> K397 * L397</f>
        <v>30</v>
      </c>
      <c r="N397" s="16">
        <f>M397 * $Q$3</f>
        <v>0.44999999999999996</v>
      </c>
      <c r="O397" s="16">
        <f>M397 * $Q$4</f>
        <v>0.6</v>
      </c>
    </row>
    <row r="398" spans="1:15">
      <c r="A398" s="2">
        <v>397</v>
      </c>
      <c r="B398" s="4">
        <f>DAY(E398)</f>
        <v>10</v>
      </c>
      <c r="C398" s="4">
        <f>MONTH(E398)</f>
        <v>3</v>
      </c>
      <c r="D398" s="4">
        <f>YEAR(E398)</f>
        <v>2023</v>
      </c>
      <c r="E398" s="3">
        <v>44995</v>
      </c>
      <c r="F398" s="4" t="s">
        <v>428</v>
      </c>
      <c r="G398" s="4" t="s">
        <v>7</v>
      </c>
      <c r="H398" s="4">
        <v>30</v>
      </c>
      <c r="I398" s="4" t="str" cm="1">
        <f t="array" ref="I398">_xlfn.IFS(H398&lt;30, "Young Adult", H398&lt;50, "Adult", H398&gt;=50, "Senior")</f>
        <v>Adult</v>
      </c>
      <c r="J398" s="4" t="s">
        <v>2</v>
      </c>
      <c r="K398" s="4">
        <v>1</v>
      </c>
      <c r="L398" s="16">
        <v>25</v>
      </c>
      <c r="M398" s="16">
        <f xml:space="preserve"> K398 * L398</f>
        <v>25</v>
      </c>
      <c r="N398" s="16">
        <f>M398 * $Q$3</f>
        <v>0.375</v>
      </c>
      <c r="O398" s="16">
        <f>M398 * $Q$4</f>
        <v>0.5</v>
      </c>
    </row>
    <row r="399" spans="1:15">
      <c r="A399" s="2">
        <v>398</v>
      </c>
      <c r="B399" s="4">
        <f>DAY(E399)</f>
        <v>16</v>
      </c>
      <c r="C399" s="4">
        <f>MONTH(E399)</f>
        <v>5</v>
      </c>
      <c r="D399" s="4">
        <f>YEAR(E399)</f>
        <v>2023</v>
      </c>
      <c r="E399" s="3">
        <v>45062</v>
      </c>
      <c r="F399" s="4" t="s">
        <v>429</v>
      </c>
      <c r="G399" s="4" t="s">
        <v>7</v>
      </c>
      <c r="H399" s="4">
        <v>48</v>
      </c>
      <c r="I399" s="4" t="str" cm="1">
        <f t="array" ref="I399">_xlfn.IFS(H399&lt;30, "Young Adult", H399&lt;50, "Adult", H399&gt;=50, "Senior")</f>
        <v>Adult</v>
      </c>
      <c r="J399" s="4" t="s">
        <v>3</v>
      </c>
      <c r="K399" s="4">
        <v>2</v>
      </c>
      <c r="L399" s="16">
        <v>300</v>
      </c>
      <c r="M399" s="16">
        <f xml:space="preserve"> K399 * L399</f>
        <v>600</v>
      </c>
      <c r="N399" s="16">
        <f>M399 * $Q$3</f>
        <v>9</v>
      </c>
      <c r="O399" s="16">
        <f>M399 * $Q$4</f>
        <v>12</v>
      </c>
    </row>
    <row r="400" spans="1:15">
      <c r="A400" s="2">
        <v>399</v>
      </c>
      <c r="B400" s="4">
        <f>DAY(E400)</f>
        <v>1</v>
      </c>
      <c r="C400" s="4">
        <f>MONTH(E400)</f>
        <v>3</v>
      </c>
      <c r="D400" s="4">
        <f>YEAR(E400)</f>
        <v>2023</v>
      </c>
      <c r="E400" s="3">
        <v>44986</v>
      </c>
      <c r="F400" s="4" t="s">
        <v>430</v>
      </c>
      <c r="G400" s="4" t="s">
        <v>7</v>
      </c>
      <c r="H400" s="4">
        <v>64</v>
      </c>
      <c r="I400" s="4" t="str" cm="1">
        <f t="array" ref="I400">_xlfn.IFS(H400&lt;30, "Young Adult", H400&lt;50, "Adult", H400&gt;=50, "Senior")</f>
        <v>Senior</v>
      </c>
      <c r="J400" s="4" t="s">
        <v>2</v>
      </c>
      <c r="K400" s="4">
        <v>2</v>
      </c>
      <c r="L400" s="16">
        <v>30</v>
      </c>
      <c r="M400" s="16">
        <f xml:space="preserve"> K400 * L400</f>
        <v>60</v>
      </c>
      <c r="N400" s="16">
        <f>M400 * $Q$3</f>
        <v>0.89999999999999991</v>
      </c>
      <c r="O400" s="16">
        <f>M400 * $Q$4</f>
        <v>1.2</v>
      </c>
    </row>
    <row r="401" spans="1:15">
      <c r="A401" s="2">
        <v>400</v>
      </c>
      <c r="B401" s="4">
        <f>DAY(E401)</f>
        <v>24</v>
      </c>
      <c r="C401" s="4">
        <f>MONTH(E401)</f>
        <v>2</v>
      </c>
      <c r="D401" s="4">
        <f>YEAR(E401)</f>
        <v>2023</v>
      </c>
      <c r="E401" s="3">
        <v>44981</v>
      </c>
      <c r="F401" s="4" t="s">
        <v>431</v>
      </c>
      <c r="G401" s="4" t="s">
        <v>8</v>
      </c>
      <c r="H401" s="4">
        <v>53</v>
      </c>
      <c r="I401" s="4" t="str" cm="1">
        <f t="array" ref="I401">_xlfn.IFS(H401&lt;30, "Young Adult", H401&lt;50, "Adult", H401&gt;=50, "Senior")</f>
        <v>Senior</v>
      </c>
      <c r="J401" s="4" t="s">
        <v>3</v>
      </c>
      <c r="K401" s="4">
        <v>4</v>
      </c>
      <c r="L401" s="16">
        <v>50</v>
      </c>
      <c r="M401" s="16">
        <f xml:space="preserve"> K401 * L401</f>
        <v>200</v>
      </c>
      <c r="N401" s="16">
        <f>M401 * $Q$3</f>
        <v>3</v>
      </c>
      <c r="O401" s="16">
        <f>M401 * $Q$4</f>
        <v>4</v>
      </c>
    </row>
    <row r="402" spans="1:15">
      <c r="A402" s="2">
        <v>401</v>
      </c>
      <c r="B402" s="4">
        <f>DAY(E402)</f>
        <v>11</v>
      </c>
      <c r="C402" s="4">
        <f>MONTH(E402)</f>
        <v>10</v>
      </c>
      <c r="D402" s="4">
        <f>YEAR(E402)</f>
        <v>2023</v>
      </c>
      <c r="E402" s="3">
        <v>45210</v>
      </c>
      <c r="F402" s="4" t="s">
        <v>432</v>
      </c>
      <c r="G402" s="4" t="s">
        <v>7</v>
      </c>
      <c r="H402" s="4">
        <v>62</v>
      </c>
      <c r="I402" s="4" t="str" cm="1">
        <f t="array" ref="I402">_xlfn.IFS(H402&lt;30, "Young Adult", H402&lt;50, "Adult", H402&gt;=50, "Senior")</f>
        <v>Senior</v>
      </c>
      <c r="J402" s="4" t="s">
        <v>3</v>
      </c>
      <c r="K402" s="4">
        <v>1</v>
      </c>
      <c r="L402" s="16">
        <v>300</v>
      </c>
      <c r="M402" s="16">
        <f xml:space="preserve"> K402 * L402</f>
        <v>300</v>
      </c>
      <c r="N402" s="16">
        <f>M402 * $Q$3</f>
        <v>4.5</v>
      </c>
      <c r="O402" s="16">
        <f>M402 * $Q$4</f>
        <v>6</v>
      </c>
    </row>
    <row r="403" spans="1:15">
      <c r="A403" s="2">
        <v>402</v>
      </c>
      <c r="B403" s="4">
        <f>DAY(E403)</f>
        <v>21</v>
      </c>
      <c r="C403" s="4">
        <f>MONTH(E403)</f>
        <v>3</v>
      </c>
      <c r="D403" s="4">
        <f>YEAR(E403)</f>
        <v>2023</v>
      </c>
      <c r="E403" s="3">
        <v>45006</v>
      </c>
      <c r="F403" s="4" t="s">
        <v>433</v>
      </c>
      <c r="G403" s="4" t="s">
        <v>7</v>
      </c>
      <c r="H403" s="4">
        <v>41</v>
      </c>
      <c r="I403" s="4" t="str" cm="1">
        <f t="array" ref="I403">_xlfn.IFS(H403&lt;30, "Young Adult", H403&lt;50, "Adult", H403&gt;=50, "Senior")</f>
        <v>Adult</v>
      </c>
      <c r="J403" s="4" t="s">
        <v>3</v>
      </c>
      <c r="K403" s="4">
        <v>2</v>
      </c>
      <c r="L403" s="16">
        <v>300</v>
      </c>
      <c r="M403" s="16">
        <f xml:space="preserve"> K403 * L403</f>
        <v>600</v>
      </c>
      <c r="N403" s="16">
        <f>M403 * $Q$3</f>
        <v>9</v>
      </c>
      <c r="O403" s="16">
        <f>M403 * $Q$4</f>
        <v>12</v>
      </c>
    </row>
    <row r="404" spans="1:15">
      <c r="A404" s="2">
        <v>403</v>
      </c>
      <c r="B404" s="4">
        <f>DAY(E404)</f>
        <v>20</v>
      </c>
      <c r="C404" s="4">
        <f>MONTH(E404)</f>
        <v>5</v>
      </c>
      <c r="D404" s="4">
        <f>YEAR(E404)</f>
        <v>2023</v>
      </c>
      <c r="E404" s="3">
        <v>45066</v>
      </c>
      <c r="F404" s="4" t="s">
        <v>434</v>
      </c>
      <c r="G404" s="4" t="s">
        <v>8</v>
      </c>
      <c r="H404" s="4">
        <v>32</v>
      </c>
      <c r="I404" s="4" t="str" cm="1">
        <f t="array" ref="I404">_xlfn.IFS(H404&lt;30, "Young Adult", H404&lt;50, "Adult", H404&gt;=50, "Senior")</f>
        <v>Adult</v>
      </c>
      <c r="J404" s="4" t="s">
        <v>3</v>
      </c>
      <c r="K404" s="4">
        <v>2</v>
      </c>
      <c r="L404" s="16">
        <v>300</v>
      </c>
      <c r="M404" s="16">
        <f xml:space="preserve"> K404 * L404</f>
        <v>600</v>
      </c>
      <c r="N404" s="16">
        <f>M404 * $Q$3</f>
        <v>9</v>
      </c>
      <c r="O404" s="16">
        <f>M404 * $Q$4</f>
        <v>12</v>
      </c>
    </row>
    <row r="405" spans="1:15">
      <c r="A405" s="2">
        <v>404</v>
      </c>
      <c r="B405" s="4">
        <f>DAY(E405)</f>
        <v>25</v>
      </c>
      <c r="C405" s="4">
        <f>MONTH(E405)</f>
        <v>5</v>
      </c>
      <c r="D405" s="4">
        <f>YEAR(E405)</f>
        <v>2023</v>
      </c>
      <c r="E405" s="3">
        <v>45071</v>
      </c>
      <c r="F405" s="4" t="s">
        <v>435</v>
      </c>
      <c r="G405" s="4" t="s">
        <v>8</v>
      </c>
      <c r="H405" s="4">
        <v>46</v>
      </c>
      <c r="I405" s="4" t="str" cm="1">
        <f t="array" ref="I405">_xlfn.IFS(H405&lt;30, "Young Adult", H405&lt;50, "Adult", H405&gt;=50, "Senior")</f>
        <v>Adult</v>
      </c>
      <c r="J405" s="4" t="s">
        <v>4</v>
      </c>
      <c r="K405" s="4">
        <v>2</v>
      </c>
      <c r="L405" s="16">
        <v>500</v>
      </c>
      <c r="M405" s="16">
        <f xml:space="preserve"> K405 * L405</f>
        <v>1000</v>
      </c>
      <c r="N405" s="16">
        <f>M405 * $Q$3</f>
        <v>15</v>
      </c>
      <c r="O405" s="16">
        <f>M405 * $Q$4</f>
        <v>20</v>
      </c>
    </row>
    <row r="406" spans="1:15">
      <c r="A406" s="2">
        <v>405</v>
      </c>
      <c r="B406" s="4">
        <f>DAY(E406)</f>
        <v>6</v>
      </c>
      <c r="C406" s="4">
        <f>MONTH(E406)</f>
        <v>11</v>
      </c>
      <c r="D406" s="4">
        <f>YEAR(E406)</f>
        <v>2023</v>
      </c>
      <c r="E406" s="3">
        <v>45236</v>
      </c>
      <c r="F406" s="4" t="s">
        <v>436</v>
      </c>
      <c r="G406" s="4" t="s">
        <v>7</v>
      </c>
      <c r="H406" s="4">
        <v>25</v>
      </c>
      <c r="I406" s="4" t="str" cm="1">
        <f t="array" ref="I406">_xlfn.IFS(H406&lt;30, "Young Adult", H406&lt;50, "Adult", H406&gt;=50, "Senior")</f>
        <v>Young Adult</v>
      </c>
      <c r="J406" s="4" t="s">
        <v>3</v>
      </c>
      <c r="K406" s="4">
        <v>4</v>
      </c>
      <c r="L406" s="16">
        <v>300</v>
      </c>
      <c r="M406" s="16">
        <f xml:space="preserve"> K406 * L406</f>
        <v>1200</v>
      </c>
      <c r="N406" s="16">
        <f>M406 * $Q$3</f>
        <v>18</v>
      </c>
      <c r="O406" s="16">
        <f>M406 * $Q$4</f>
        <v>24</v>
      </c>
    </row>
    <row r="407" spans="1:15">
      <c r="A407" s="2">
        <v>406</v>
      </c>
      <c r="B407" s="4">
        <f>DAY(E407)</f>
        <v>18</v>
      </c>
      <c r="C407" s="4">
        <f>MONTH(E407)</f>
        <v>4</v>
      </c>
      <c r="D407" s="4">
        <f>YEAR(E407)</f>
        <v>2023</v>
      </c>
      <c r="E407" s="3">
        <v>45034</v>
      </c>
      <c r="F407" s="4" t="s">
        <v>437</v>
      </c>
      <c r="G407" s="4" t="s">
        <v>7</v>
      </c>
      <c r="H407" s="4">
        <v>22</v>
      </c>
      <c r="I407" s="4" t="str" cm="1">
        <f t="array" ref="I407">_xlfn.IFS(H407&lt;30, "Young Adult", H407&lt;50, "Adult", H407&gt;=50, "Senior")</f>
        <v>Young Adult</v>
      </c>
      <c r="J407" s="4" t="s">
        <v>2</v>
      </c>
      <c r="K407" s="4">
        <v>4</v>
      </c>
      <c r="L407" s="16">
        <v>25</v>
      </c>
      <c r="M407" s="16">
        <f xml:space="preserve"> K407 * L407</f>
        <v>100</v>
      </c>
      <c r="N407" s="16">
        <f>M407 * $Q$3</f>
        <v>1.5</v>
      </c>
      <c r="O407" s="16">
        <f>M407 * $Q$4</f>
        <v>2</v>
      </c>
    </row>
    <row r="408" spans="1:15">
      <c r="A408" s="2">
        <v>407</v>
      </c>
      <c r="B408" s="4">
        <f>DAY(E408)</f>
        <v>25</v>
      </c>
      <c r="C408" s="4">
        <f>MONTH(E408)</f>
        <v>6</v>
      </c>
      <c r="D408" s="4">
        <f>YEAR(E408)</f>
        <v>2023</v>
      </c>
      <c r="E408" s="3">
        <v>45102</v>
      </c>
      <c r="F408" s="4" t="s">
        <v>438</v>
      </c>
      <c r="G408" s="4" t="s">
        <v>7</v>
      </c>
      <c r="H408" s="4">
        <v>46</v>
      </c>
      <c r="I408" s="4" t="str" cm="1">
        <f t="array" ref="I408">_xlfn.IFS(H408&lt;30, "Young Adult", H408&lt;50, "Adult", H408&gt;=50, "Senior")</f>
        <v>Adult</v>
      </c>
      <c r="J408" s="4" t="s">
        <v>4</v>
      </c>
      <c r="K408" s="4">
        <v>3</v>
      </c>
      <c r="L408" s="16">
        <v>300</v>
      </c>
      <c r="M408" s="16">
        <f xml:space="preserve"> K408 * L408</f>
        <v>900</v>
      </c>
      <c r="N408" s="16">
        <f>M408 * $Q$3</f>
        <v>13.5</v>
      </c>
      <c r="O408" s="16">
        <f>M408 * $Q$4</f>
        <v>18</v>
      </c>
    </row>
    <row r="409" spans="1:15">
      <c r="A409" s="2">
        <v>408</v>
      </c>
      <c r="B409" s="4">
        <f>DAY(E409)</f>
        <v>15</v>
      </c>
      <c r="C409" s="4">
        <f>MONTH(E409)</f>
        <v>4</v>
      </c>
      <c r="D409" s="4">
        <f>YEAR(E409)</f>
        <v>2023</v>
      </c>
      <c r="E409" s="3">
        <v>45031</v>
      </c>
      <c r="F409" s="4" t="s">
        <v>439</v>
      </c>
      <c r="G409" s="4" t="s">
        <v>7</v>
      </c>
      <c r="H409" s="4">
        <v>64</v>
      </c>
      <c r="I409" s="4" t="str" cm="1">
        <f t="array" ref="I409">_xlfn.IFS(H409&lt;30, "Young Adult", H409&lt;50, "Adult", H409&gt;=50, "Senior")</f>
        <v>Senior</v>
      </c>
      <c r="J409" s="4" t="s">
        <v>2</v>
      </c>
      <c r="K409" s="4">
        <v>1</v>
      </c>
      <c r="L409" s="16">
        <v>500</v>
      </c>
      <c r="M409" s="16">
        <f xml:space="preserve"> K409 * L409</f>
        <v>500</v>
      </c>
      <c r="N409" s="16">
        <f>M409 * $Q$3</f>
        <v>7.5</v>
      </c>
      <c r="O409" s="16">
        <f>M409 * $Q$4</f>
        <v>10</v>
      </c>
    </row>
    <row r="410" spans="1:15">
      <c r="A410" s="2">
        <v>409</v>
      </c>
      <c r="B410" s="4">
        <f>DAY(E410)</f>
        <v>18</v>
      </c>
      <c r="C410" s="4">
        <f>MONTH(E410)</f>
        <v>12</v>
      </c>
      <c r="D410" s="4">
        <f>YEAR(E410)</f>
        <v>2023</v>
      </c>
      <c r="E410" s="3">
        <v>45278</v>
      </c>
      <c r="F410" s="4" t="s">
        <v>440</v>
      </c>
      <c r="G410" s="4" t="s">
        <v>7</v>
      </c>
      <c r="H410" s="4">
        <v>21</v>
      </c>
      <c r="I410" s="4" t="str" cm="1">
        <f t="array" ref="I410">_xlfn.IFS(H410&lt;30, "Young Adult", H410&lt;50, "Adult", H410&gt;=50, "Senior")</f>
        <v>Young Adult</v>
      </c>
      <c r="J410" s="4" t="s">
        <v>4</v>
      </c>
      <c r="K410" s="4">
        <v>3</v>
      </c>
      <c r="L410" s="16">
        <v>300</v>
      </c>
      <c r="M410" s="16">
        <f xml:space="preserve"> K410 * L410</f>
        <v>900</v>
      </c>
      <c r="N410" s="16">
        <f>M410 * $Q$3</f>
        <v>13.5</v>
      </c>
      <c r="O410" s="16">
        <f>M410 * $Q$4</f>
        <v>18</v>
      </c>
    </row>
    <row r="411" spans="1:15">
      <c r="A411" s="2">
        <v>410</v>
      </c>
      <c r="B411" s="4">
        <f>DAY(E411)</f>
        <v>21</v>
      </c>
      <c r="C411" s="4">
        <f>MONTH(E411)</f>
        <v>11</v>
      </c>
      <c r="D411" s="4">
        <f>YEAR(E411)</f>
        <v>2023</v>
      </c>
      <c r="E411" s="3">
        <v>45251</v>
      </c>
      <c r="F411" s="4" t="s">
        <v>441</v>
      </c>
      <c r="G411" s="4" t="s">
        <v>7</v>
      </c>
      <c r="H411" s="4">
        <v>29</v>
      </c>
      <c r="I411" s="4" t="str" cm="1">
        <f t="array" ref="I411">_xlfn.IFS(H411&lt;30, "Young Adult", H411&lt;50, "Adult", H411&gt;=50, "Senior")</f>
        <v>Young Adult</v>
      </c>
      <c r="J411" s="4" t="s">
        <v>3</v>
      </c>
      <c r="K411" s="4">
        <v>2</v>
      </c>
      <c r="L411" s="16">
        <v>50</v>
      </c>
      <c r="M411" s="16">
        <f xml:space="preserve"> K411 * L411</f>
        <v>100</v>
      </c>
      <c r="N411" s="16">
        <f>M411 * $Q$3</f>
        <v>1.5</v>
      </c>
      <c r="O411" s="16">
        <f>M411 * $Q$4</f>
        <v>2</v>
      </c>
    </row>
    <row r="412" spans="1:15">
      <c r="A412" s="2">
        <v>411</v>
      </c>
      <c r="B412" s="4">
        <f>DAY(E412)</f>
        <v>16</v>
      </c>
      <c r="C412" s="4">
        <f>MONTH(E412)</f>
        <v>5</v>
      </c>
      <c r="D412" s="4">
        <f>YEAR(E412)</f>
        <v>2023</v>
      </c>
      <c r="E412" s="3">
        <v>45062</v>
      </c>
      <c r="F412" s="4" t="s">
        <v>442</v>
      </c>
      <c r="G412" s="4" t="s">
        <v>8</v>
      </c>
      <c r="H412" s="4">
        <v>62</v>
      </c>
      <c r="I412" s="4" t="str" cm="1">
        <f t="array" ref="I412">_xlfn.IFS(H412&lt;30, "Young Adult", H412&lt;50, "Adult", H412&gt;=50, "Senior")</f>
        <v>Senior</v>
      </c>
      <c r="J412" s="4" t="s">
        <v>4</v>
      </c>
      <c r="K412" s="4">
        <v>4</v>
      </c>
      <c r="L412" s="16">
        <v>50</v>
      </c>
      <c r="M412" s="16">
        <f xml:space="preserve"> K412 * L412</f>
        <v>200</v>
      </c>
      <c r="N412" s="16">
        <f>M412 * $Q$3</f>
        <v>3</v>
      </c>
      <c r="O412" s="16">
        <f>M412 * $Q$4</f>
        <v>4</v>
      </c>
    </row>
    <row r="413" spans="1:15">
      <c r="A413" s="2">
        <v>412</v>
      </c>
      <c r="B413" s="4">
        <f>DAY(E413)</f>
        <v>16</v>
      </c>
      <c r="C413" s="4">
        <f>MONTH(E413)</f>
        <v>9</v>
      </c>
      <c r="D413" s="4">
        <f>YEAR(E413)</f>
        <v>2023</v>
      </c>
      <c r="E413" s="3">
        <v>45185</v>
      </c>
      <c r="F413" s="4" t="s">
        <v>443</v>
      </c>
      <c r="G413" s="4" t="s">
        <v>7</v>
      </c>
      <c r="H413" s="4">
        <v>19</v>
      </c>
      <c r="I413" s="4" t="str" cm="1">
        <f t="array" ref="I413">_xlfn.IFS(H413&lt;30, "Young Adult", H413&lt;50, "Adult", H413&gt;=50, "Senior")</f>
        <v>Young Adult</v>
      </c>
      <c r="J413" s="4" t="s">
        <v>4</v>
      </c>
      <c r="K413" s="4">
        <v>4</v>
      </c>
      <c r="L413" s="16">
        <v>500</v>
      </c>
      <c r="M413" s="16">
        <f xml:space="preserve"> K413 * L413</f>
        <v>2000</v>
      </c>
      <c r="N413" s="16">
        <f>M413 * $Q$3</f>
        <v>30</v>
      </c>
      <c r="O413" s="16">
        <f>M413 * $Q$4</f>
        <v>40</v>
      </c>
    </row>
    <row r="414" spans="1:15">
      <c r="A414" s="2">
        <v>413</v>
      </c>
      <c r="B414" s="4">
        <f>DAY(E414)</f>
        <v>8</v>
      </c>
      <c r="C414" s="4">
        <f>MONTH(E414)</f>
        <v>9</v>
      </c>
      <c r="D414" s="4">
        <f>YEAR(E414)</f>
        <v>2023</v>
      </c>
      <c r="E414" s="3">
        <v>45177</v>
      </c>
      <c r="F414" s="4" t="s">
        <v>444</v>
      </c>
      <c r="G414" s="4" t="s">
        <v>7</v>
      </c>
      <c r="H414" s="4">
        <v>44</v>
      </c>
      <c r="I414" s="4" t="str" cm="1">
        <f t="array" ref="I414">_xlfn.IFS(H414&lt;30, "Young Adult", H414&lt;50, "Adult", H414&gt;=50, "Senior")</f>
        <v>Adult</v>
      </c>
      <c r="J414" s="4" t="s">
        <v>2</v>
      </c>
      <c r="K414" s="4">
        <v>3</v>
      </c>
      <c r="L414" s="16">
        <v>25</v>
      </c>
      <c r="M414" s="16">
        <f xml:space="preserve"> K414 * L414</f>
        <v>75</v>
      </c>
      <c r="N414" s="16">
        <f>M414 * $Q$3</f>
        <v>1.125</v>
      </c>
      <c r="O414" s="16">
        <f>M414 * $Q$4</f>
        <v>1.5</v>
      </c>
    </row>
    <row r="415" spans="1:15">
      <c r="A415" s="2">
        <v>414</v>
      </c>
      <c r="B415" s="4">
        <f>DAY(E415)</f>
        <v>9</v>
      </c>
      <c r="C415" s="4">
        <f>MONTH(E415)</f>
        <v>5</v>
      </c>
      <c r="D415" s="4">
        <f>YEAR(E415)</f>
        <v>2023</v>
      </c>
      <c r="E415" s="3">
        <v>45055</v>
      </c>
      <c r="F415" s="4" t="s">
        <v>445</v>
      </c>
      <c r="G415" s="4" t="s">
        <v>8</v>
      </c>
      <c r="H415" s="4">
        <v>48</v>
      </c>
      <c r="I415" s="4" t="str" cm="1">
        <f t="array" ref="I415">_xlfn.IFS(H415&lt;30, "Young Adult", H415&lt;50, "Adult", H415&gt;=50, "Senior")</f>
        <v>Adult</v>
      </c>
      <c r="J415" s="4" t="s">
        <v>2</v>
      </c>
      <c r="K415" s="4">
        <v>4</v>
      </c>
      <c r="L415" s="16">
        <v>25</v>
      </c>
      <c r="M415" s="16">
        <f xml:space="preserve"> K415 * L415</f>
        <v>100</v>
      </c>
      <c r="N415" s="16">
        <f>M415 * $Q$3</f>
        <v>1.5</v>
      </c>
      <c r="O415" s="16">
        <f>M415 * $Q$4</f>
        <v>2</v>
      </c>
    </row>
    <row r="416" spans="1:15">
      <c r="A416" s="2">
        <v>415</v>
      </c>
      <c r="B416" s="4">
        <f>DAY(E416)</f>
        <v>27</v>
      </c>
      <c r="C416" s="4">
        <f>MONTH(E416)</f>
        <v>1</v>
      </c>
      <c r="D416" s="4">
        <f>YEAR(E416)</f>
        <v>2023</v>
      </c>
      <c r="E416" s="3">
        <v>44953</v>
      </c>
      <c r="F416" s="4" t="s">
        <v>446</v>
      </c>
      <c r="G416" s="4" t="s">
        <v>8</v>
      </c>
      <c r="H416" s="4">
        <v>53</v>
      </c>
      <c r="I416" s="4" t="str" cm="1">
        <f t="array" ref="I416">_xlfn.IFS(H416&lt;30, "Young Adult", H416&lt;50, "Adult", H416&gt;=50, "Senior")</f>
        <v>Senior</v>
      </c>
      <c r="J416" s="4" t="s">
        <v>3</v>
      </c>
      <c r="K416" s="4">
        <v>2</v>
      </c>
      <c r="L416" s="16">
        <v>30</v>
      </c>
      <c r="M416" s="16">
        <f xml:space="preserve"> K416 * L416</f>
        <v>60</v>
      </c>
      <c r="N416" s="16">
        <f>M416 * $Q$3</f>
        <v>0.89999999999999991</v>
      </c>
      <c r="O416" s="16">
        <f>M416 * $Q$4</f>
        <v>1.2</v>
      </c>
    </row>
    <row r="417" spans="1:15">
      <c r="A417" s="2">
        <v>416</v>
      </c>
      <c r="B417" s="4">
        <f>DAY(E417)</f>
        <v>17</v>
      </c>
      <c r="C417" s="4">
        <f>MONTH(E417)</f>
        <v>2</v>
      </c>
      <c r="D417" s="4">
        <f>YEAR(E417)</f>
        <v>2023</v>
      </c>
      <c r="E417" s="3">
        <v>44974</v>
      </c>
      <c r="F417" s="4" t="s">
        <v>447</v>
      </c>
      <c r="G417" s="4" t="s">
        <v>8</v>
      </c>
      <c r="H417" s="4">
        <v>53</v>
      </c>
      <c r="I417" s="4" t="str" cm="1">
        <f t="array" ref="I417">_xlfn.IFS(H417&lt;30, "Young Adult", H417&lt;50, "Adult", H417&gt;=50, "Senior")</f>
        <v>Senior</v>
      </c>
      <c r="J417" s="4" t="s">
        <v>4</v>
      </c>
      <c r="K417" s="4">
        <v>4</v>
      </c>
      <c r="L417" s="16">
        <v>500</v>
      </c>
      <c r="M417" s="16">
        <f xml:space="preserve"> K417 * L417</f>
        <v>2000</v>
      </c>
      <c r="N417" s="16">
        <f>M417 * $Q$3</f>
        <v>30</v>
      </c>
      <c r="O417" s="16">
        <f>M417 * $Q$4</f>
        <v>40</v>
      </c>
    </row>
    <row r="418" spans="1:15">
      <c r="A418" s="2">
        <v>417</v>
      </c>
      <c r="B418" s="4">
        <f>DAY(E418)</f>
        <v>21</v>
      </c>
      <c r="C418" s="4">
        <f>MONTH(E418)</f>
        <v>11</v>
      </c>
      <c r="D418" s="4">
        <f>YEAR(E418)</f>
        <v>2023</v>
      </c>
      <c r="E418" s="3">
        <v>45251</v>
      </c>
      <c r="F418" s="4" t="s">
        <v>448</v>
      </c>
      <c r="G418" s="4" t="s">
        <v>8</v>
      </c>
      <c r="H418" s="4">
        <v>43</v>
      </c>
      <c r="I418" s="4" t="str" cm="1">
        <f t="array" ref="I418">_xlfn.IFS(H418&lt;30, "Young Adult", H418&lt;50, "Adult", H418&gt;=50, "Senior")</f>
        <v>Adult</v>
      </c>
      <c r="J418" s="4" t="s">
        <v>4</v>
      </c>
      <c r="K418" s="4">
        <v>3</v>
      </c>
      <c r="L418" s="16">
        <v>300</v>
      </c>
      <c r="M418" s="16">
        <f xml:space="preserve"> K418 * L418</f>
        <v>900</v>
      </c>
      <c r="N418" s="16">
        <f>M418 * $Q$3</f>
        <v>13.5</v>
      </c>
      <c r="O418" s="16">
        <f>M418 * $Q$4</f>
        <v>18</v>
      </c>
    </row>
    <row r="419" spans="1:15">
      <c r="A419" s="2">
        <v>418</v>
      </c>
      <c r="B419" s="4">
        <f>DAY(E419)</f>
        <v>5</v>
      </c>
      <c r="C419" s="4">
        <f>MONTH(E419)</f>
        <v>8</v>
      </c>
      <c r="D419" s="4">
        <f>YEAR(E419)</f>
        <v>2023</v>
      </c>
      <c r="E419" s="3">
        <v>45143</v>
      </c>
      <c r="F419" s="4" t="s">
        <v>449</v>
      </c>
      <c r="G419" s="4" t="s">
        <v>7</v>
      </c>
      <c r="H419" s="4">
        <v>60</v>
      </c>
      <c r="I419" s="4" t="str" cm="1">
        <f t="array" ref="I419">_xlfn.IFS(H419&lt;30, "Young Adult", H419&lt;50, "Adult", H419&gt;=50, "Senior")</f>
        <v>Senior</v>
      </c>
      <c r="J419" s="4" t="s">
        <v>4</v>
      </c>
      <c r="K419" s="4">
        <v>2</v>
      </c>
      <c r="L419" s="16">
        <v>500</v>
      </c>
      <c r="M419" s="16">
        <f xml:space="preserve"> K419 * L419</f>
        <v>1000</v>
      </c>
      <c r="N419" s="16">
        <f>M419 * $Q$3</f>
        <v>15</v>
      </c>
      <c r="O419" s="16">
        <f>M419 * $Q$4</f>
        <v>20</v>
      </c>
    </row>
    <row r="420" spans="1:15">
      <c r="A420" s="2">
        <v>419</v>
      </c>
      <c r="B420" s="4">
        <f>DAY(E420)</f>
        <v>22</v>
      </c>
      <c r="C420" s="4">
        <f>MONTH(E420)</f>
        <v>5</v>
      </c>
      <c r="D420" s="4">
        <f>YEAR(E420)</f>
        <v>2023</v>
      </c>
      <c r="E420" s="3">
        <v>45068</v>
      </c>
      <c r="F420" s="4" t="s">
        <v>450</v>
      </c>
      <c r="G420" s="4" t="s">
        <v>7</v>
      </c>
      <c r="H420" s="4">
        <v>44</v>
      </c>
      <c r="I420" s="4" t="str" cm="1">
        <f t="array" ref="I420">_xlfn.IFS(H420&lt;30, "Young Adult", H420&lt;50, "Adult", H420&gt;=50, "Senior")</f>
        <v>Adult</v>
      </c>
      <c r="J420" s="4" t="s">
        <v>3</v>
      </c>
      <c r="K420" s="4">
        <v>3</v>
      </c>
      <c r="L420" s="16">
        <v>30</v>
      </c>
      <c r="M420" s="16">
        <f xml:space="preserve"> K420 * L420</f>
        <v>90</v>
      </c>
      <c r="N420" s="16">
        <f>M420 * $Q$3</f>
        <v>1.3499999999999999</v>
      </c>
      <c r="O420" s="16">
        <f>M420 * $Q$4</f>
        <v>1.8</v>
      </c>
    </row>
    <row r="421" spans="1:15">
      <c r="A421" s="2">
        <v>420</v>
      </c>
      <c r="B421" s="4">
        <f>DAY(E421)</f>
        <v>23</v>
      </c>
      <c r="C421" s="4">
        <f>MONTH(E421)</f>
        <v>1</v>
      </c>
      <c r="D421" s="4">
        <f>YEAR(E421)</f>
        <v>2023</v>
      </c>
      <c r="E421" s="3">
        <v>44949</v>
      </c>
      <c r="F421" s="4" t="s">
        <v>451</v>
      </c>
      <c r="G421" s="4" t="s">
        <v>7</v>
      </c>
      <c r="H421" s="4">
        <v>22</v>
      </c>
      <c r="I421" s="4" t="str" cm="1">
        <f t="array" ref="I421">_xlfn.IFS(H421&lt;30, "Young Adult", H421&lt;50, "Adult", H421&gt;=50, "Senior")</f>
        <v>Young Adult</v>
      </c>
      <c r="J421" s="4" t="s">
        <v>3</v>
      </c>
      <c r="K421" s="4">
        <v>4</v>
      </c>
      <c r="L421" s="16">
        <v>500</v>
      </c>
      <c r="M421" s="16">
        <f xml:space="preserve"> K421 * L421</f>
        <v>2000</v>
      </c>
      <c r="N421" s="16">
        <f>M421 * $Q$3</f>
        <v>30</v>
      </c>
      <c r="O421" s="16">
        <f>M421 * $Q$4</f>
        <v>40</v>
      </c>
    </row>
    <row r="422" spans="1:15">
      <c r="A422" s="2">
        <v>421</v>
      </c>
      <c r="B422" s="4">
        <f>DAY(E422)</f>
        <v>2</v>
      </c>
      <c r="C422" s="4">
        <f>MONTH(E422)</f>
        <v>1</v>
      </c>
      <c r="D422" s="4">
        <f>YEAR(E422)</f>
        <v>2023</v>
      </c>
      <c r="E422" s="3">
        <v>44928</v>
      </c>
      <c r="F422" s="4" t="s">
        <v>452</v>
      </c>
      <c r="G422" s="4" t="s">
        <v>7</v>
      </c>
      <c r="H422" s="4">
        <v>37</v>
      </c>
      <c r="I422" s="4" t="str" cm="1">
        <f t="array" ref="I422">_xlfn.IFS(H422&lt;30, "Young Adult", H422&lt;50, "Adult", H422&gt;=50, "Senior")</f>
        <v>Adult</v>
      </c>
      <c r="J422" s="4" t="s">
        <v>3</v>
      </c>
      <c r="K422" s="4">
        <v>3</v>
      </c>
      <c r="L422" s="16">
        <v>500</v>
      </c>
      <c r="M422" s="16">
        <f xml:space="preserve"> K422 * L422</f>
        <v>1500</v>
      </c>
      <c r="N422" s="16">
        <f>M422 * $Q$3</f>
        <v>22.5</v>
      </c>
      <c r="O422" s="16">
        <f>M422 * $Q$4</f>
        <v>30</v>
      </c>
    </row>
    <row r="423" spans="1:15">
      <c r="A423" s="2">
        <v>422</v>
      </c>
      <c r="B423" s="4">
        <f>DAY(E423)</f>
        <v>20</v>
      </c>
      <c r="C423" s="4">
        <f>MONTH(E423)</f>
        <v>6</v>
      </c>
      <c r="D423" s="4">
        <f>YEAR(E423)</f>
        <v>2023</v>
      </c>
      <c r="E423" s="3">
        <v>45097</v>
      </c>
      <c r="F423" s="4" t="s">
        <v>453</v>
      </c>
      <c r="G423" s="4" t="s">
        <v>7</v>
      </c>
      <c r="H423" s="4">
        <v>28</v>
      </c>
      <c r="I423" s="4" t="str" cm="1">
        <f t="array" ref="I423">_xlfn.IFS(H423&lt;30, "Young Adult", H423&lt;50, "Adult", H423&gt;=50, "Senior")</f>
        <v>Young Adult</v>
      </c>
      <c r="J423" s="4" t="s">
        <v>3</v>
      </c>
      <c r="K423" s="4">
        <v>3</v>
      </c>
      <c r="L423" s="16">
        <v>30</v>
      </c>
      <c r="M423" s="16">
        <f xml:space="preserve"> K423 * L423</f>
        <v>90</v>
      </c>
      <c r="N423" s="16">
        <f>M423 * $Q$3</f>
        <v>1.3499999999999999</v>
      </c>
      <c r="O423" s="16">
        <f>M423 * $Q$4</f>
        <v>1.8</v>
      </c>
    </row>
    <row r="424" spans="1:15">
      <c r="A424" s="2">
        <v>423</v>
      </c>
      <c r="B424" s="4">
        <f>DAY(E424)</f>
        <v>8</v>
      </c>
      <c r="C424" s="4">
        <f>MONTH(E424)</f>
        <v>3</v>
      </c>
      <c r="D424" s="4">
        <f>YEAR(E424)</f>
        <v>2023</v>
      </c>
      <c r="E424" s="3">
        <v>44993</v>
      </c>
      <c r="F424" s="4" t="s">
        <v>454</v>
      </c>
      <c r="G424" s="4" t="s">
        <v>7</v>
      </c>
      <c r="H424" s="4">
        <v>27</v>
      </c>
      <c r="I424" s="4" t="str" cm="1">
        <f t="array" ref="I424">_xlfn.IFS(H424&lt;30, "Young Adult", H424&lt;50, "Adult", H424&gt;=50, "Senior")</f>
        <v>Young Adult</v>
      </c>
      <c r="J424" s="4" t="s">
        <v>3</v>
      </c>
      <c r="K424" s="4">
        <v>1</v>
      </c>
      <c r="L424" s="16">
        <v>25</v>
      </c>
      <c r="M424" s="16">
        <f xml:space="preserve"> K424 * L424</f>
        <v>25</v>
      </c>
      <c r="N424" s="16">
        <f>M424 * $Q$3</f>
        <v>0.375</v>
      </c>
      <c r="O424" s="16">
        <f>M424 * $Q$4</f>
        <v>0.5</v>
      </c>
    </row>
    <row r="425" spans="1:15">
      <c r="A425" s="2">
        <v>424</v>
      </c>
      <c r="B425" s="4">
        <f>DAY(E425)</f>
        <v>23</v>
      </c>
      <c r="C425" s="4">
        <f>MONTH(E425)</f>
        <v>11</v>
      </c>
      <c r="D425" s="4">
        <f>YEAR(E425)</f>
        <v>2023</v>
      </c>
      <c r="E425" s="3">
        <v>45253</v>
      </c>
      <c r="F425" s="4" t="s">
        <v>455</v>
      </c>
      <c r="G425" s="4" t="s">
        <v>8</v>
      </c>
      <c r="H425" s="4">
        <v>57</v>
      </c>
      <c r="I425" s="4" t="str" cm="1">
        <f t="array" ref="I425">_xlfn.IFS(H425&lt;30, "Young Adult", H425&lt;50, "Adult", H425&gt;=50, "Senior")</f>
        <v>Senior</v>
      </c>
      <c r="J425" s="4" t="s">
        <v>2</v>
      </c>
      <c r="K425" s="4">
        <v>4</v>
      </c>
      <c r="L425" s="16">
        <v>300</v>
      </c>
      <c r="M425" s="16">
        <f xml:space="preserve"> K425 * L425</f>
        <v>1200</v>
      </c>
      <c r="N425" s="16">
        <f>M425 * $Q$3</f>
        <v>18</v>
      </c>
      <c r="O425" s="16">
        <f>M425 * $Q$4</f>
        <v>24</v>
      </c>
    </row>
    <row r="426" spans="1:15">
      <c r="A426" s="2">
        <v>425</v>
      </c>
      <c r="B426" s="4">
        <f>DAY(E426)</f>
        <v>15</v>
      </c>
      <c r="C426" s="4">
        <f>MONTH(E426)</f>
        <v>5</v>
      </c>
      <c r="D426" s="4">
        <f>YEAR(E426)</f>
        <v>2023</v>
      </c>
      <c r="E426" s="3">
        <v>45061</v>
      </c>
      <c r="F426" s="4" t="s">
        <v>456</v>
      </c>
      <c r="G426" s="4" t="s">
        <v>7</v>
      </c>
      <c r="H426" s="4">
        <v>55</v>
      </c>
      <c r="I426" s="4" t="str" cm="1">
        <f t="array" ref="I426">_xlfn.IFS(H426&lt;30, "Young Adult", H426&lt;50, "Adult", H426&gt;=50, "Senior")</f>
        <v>Senior</v>
      </c>
      <c r="J426" s="4" t="s">
        <v>4</v>
      </c>
      <c r="K426" s="4">
        <v>4</v>
      </c>
      <c r="L426" s="16">
        <v>30</v>
      </c>
      <c r="M426" s="16">
        <f xml:space="preserve"> K426 * L426</f>
        <v>120</v>
      </c>
      <c r="N426" s="16">
        <f>M426 * $Q$3</f>
        <v>1.7999999999999998</v>
      </c>
      <c r="O426" s="16">
        <f>M426 * $Q$4</f>
        <v>2.4</v>
      </c>
    </row>
    <row r="427" spans="1:15">
      <c r="A427" s="2">
        <v>426</v>
      </c>
      <c r="B427" s="4">
        <f>DAY(E427)</f>
        <v>24</v>
      </c>
      <c r="C427" s="4">
        <f>MONTH(E427)</f>
        <v>3</v>
      </c>
      <c r="D427" s="4">
        <f>YEAR(E427)</f>
        <v>2023</v>
      </c>
      <c r="E427" s="3">
        <v>45009</v>
      </c>
      <c r="F427" s="4" t="s">
        <v>457</v>
      </c>
      <c r="G427" s="4" t="s">
        <v>8</v>
      </c>
      <c r="H427" s="4">
        <v>23</v>
      </c>
      <c r="I427" s="4" t="str" cm="1">
        <f t="array" ref="I427">_xlfn.IFS(H427&lt;30, "Young Adult", H427&lt;50, "Adult", H427&gt;=50, "Senior")</f>
        <v>Young Adult</v>
      </c>
      <c r="J427" s="4" t="s">
        <v>4</v>
      </c>
      <c r="K427" s="4">
        <v>3</v>
      </c>
      <c r="L427" s="16">
        <v>50</v>
      </c>
      <c r="M427" s="16">
        <f xml:space="preserve"> K427 * L427</f>
        <v>150</v>
      </c>
      <c r="N427" s="16">
        <f>M427 * $Q$3</f>
        <v>2.25</v>
      </c>
      <c r="O427" s="16">
        <f>M427 * $Q$4</f>
        <v>3</v>
      </c>
    </row>
    <row r="428" spans="1:15">
      <c r="A428" s="2">
        <v>427</v>
      </c>
      <c r="B428" s="4">
        <f>DAY(E428)</f>
        <v>15</v>
      </c>
      <c r="C428" s="4">
        <f>MONTH(E428)</f>
        <v>8</v>
      </c>
      <c r="D428" s="4">
        <f>YEAR(E428)</f>
        <v>2023</v>
      </c>
      <c r="E428" s="3">
        <v>45153</v>
      </c>
      <c r="F428" s="4" t="s">
        <v>458</v>
      </c>
      <c r="G428" s="4" t="s">
        <v>8</v>
      </c>
      <c r="H428" s="4">
        <v>25</v>
      </c>
      <c r="I428" s="4" t="str" cm="1">
        <f t="array" ref="I428">_xlfn.IFS(H428&lt;30, "Young Adult", H428&lt;50, "Adult", H428&gt;=50, "Senior")</f>
        <v>Young Adult</v>
      </c>
      <c r="J428" s="4" t="s">
        <v>4</v>
      </c>
      <c r="K428" s="4">
        <v>1</v>
      </c>
      <c r="L428" s="16">
        <v>25</v>
      </c>
      <c r="M428" s="16">
        <f xml:space="preserve"> K428 * L428</f>
        <v>25</v>
      </c>
      <c r="N428" s="16">
        <f>M428 * $Q$3</f>
        <v>0.375</v>
      </c>
      <c r="O428" s="16">
        <f>M428 * $Q$4</f>
        <v>0.5</v>
      </c>
    </row>
    <row r="429" spans="1:15">
      <c r="A429" s="2">
        <v>428</v>
      </c>
      <c r="B429" s="4">
        <f>DAY(E429)</f>
        <v>10</v>
      </c>
      <c r="C429" s="4">
        <f>MONTH(E429)</f>
        <v>10</v>
      </c>
      <c r="D429" s="4">
        <f>YEAR(E429)</f>
        <v>2023</v>
      </c>
      <c r="E429" s="3">
        <v>45209</v>
      </c>
      <c r="F429" s="4" t="s">
        <v>459</v>
      </c>
      <c r="G429" s="4" t="s">
        <v>7</v>
      </c>
      <c r="H429" s="4">
        <v>40</v>
      </c>
      <c r="I429" s="4" t="str" cm="1">
        <f t="array" ref="I429">_xlfn.IFS(H429&lt;30, "Young Adult", H429&lt;50, "Adult", H429&gt;=50, "Senior")</f>
        <v>Adult</v>
      </c>
      <c r="J429" s="4" t="s">
        <v>4</v>
      </c>
      <c r="K429" s="4">
        <v>4</v>
      </c>
      <c r="L429" s="16">
        <v>50</v>
      </c>
      <c r="M429" s="16">
        <f xml:space="preserve"> K429 * L429</f>
        <v>200</v>
      </c>
      <c r="N429" s="16">
        <f>M429 * $Q$3</f>
        <v>3</v>
      </c>
      <c r="O429" s="16">
        <f>M429 * $Q$4</f>
        <v>4</v>
      </c>
    </row>
    <row r="430" spans="1:15">
      <c r="A430" s="2">
        <v>429</v>
      </c>
      <c r="B430" s="4">
        <f>DAY(E430)</f>
        <v>28</v>
      </c>
      <c r="C430" s="4">
        <f>MONTH(E430)</f>
        <v>12</v>
      </c>
      <c r="D430" s="4">
        <f>YEAR(E430)</f>
        <v>2023</v>
      </c>
      <c r="E430" s="3">
        <v>45288</v>
      </c>
      <c r="F430" s="4" t="s">
        <v>460</v>
      </c>
      <c r="G430" s="4" t="s">
        <v>8</v>
      </c>
      <c r="H430" s="4">
        <v>64</v>
      </c>
      <c r="I430" s="4" t="str" cm="1">
        <f t="array" ref="I430">_xlfn.IFS(H430&lt;30, "Young Adult", H430&lt;50, "Adult", H430&gt;=50, "Senior")</f>
        <v>Senior</v>
      </c>
      <c r="J430" s="4" t="s">
        <v>4</v>
      </c>
      <c r="K430" s="4">
        <v>2</v>
      </c>
      <c r="L430" s="16">
        <v>25</v>
      </c>
      <c r="M430" s="16">
        <f xml:space="preserve"> K430 * L430</f>
        <v>50</v>
      </c>
      <c r="N430" s="16">
        <f>M430 * $Q$3</f>
        <v>0.75</v>
      </c>
      <c r="O430" s="16">
        <f>M430 * $Q$4</f>
        <v>1</v>
      </c>
    </row>
    <row r="431" spans="1:15">
      <c r="A431" s="2">
        <v>430</v>
      </c>
      <c r="B431" s="4">
        <f>DAY(E431)</f>
        <v>7</v>
      </c>
      <c r="C431" s="4">
        <f>MONTH(E431)</f>
        <v>8</v>
      </c>
      <c r="D431" s="4">
        <f>YEAR(E431)</f>
        <v>2023</v>
      </c>
      <c r="E431" s="3">
        <v>45145</v>
      </c>
      <c r="F431" s="4" t="s">
        <v>461</v>
      </c>
      <c r="G431" s="4" t="s">
        <v>7</v>
      </c>
      <c r="H431" s="4">
        <v>43</v>
      </c>
      <c r="I431" s="4" t="str" cm="1">
        <f t="array" ref="I431">_xlfn.IFS(H431&lt;30, "Young Adult", H431&lt;50, "Adult", H431&gt;=50, "Senior")</f>
        <v>Adult</v>
      </c>
      <c r="J431" s="4" t="s">
        <v>4</v>
      </c>
      <c r="K431" s="4">
        <v>3</v>
      </c>
      <c r="L431" s="16">
        <v>300</v>
      </c>
      <c r="M431" s="16">
        <f xml:space="preserve"> K431 * L431</f>
        <v>900</v>
      </c>
      <c r="N431" s="16">
        <f>M431 * $Q$3</f>
        <v>13.5</v>
      </c>
      <c r="O431" s="16">
        <f>M431 * $Q$4</f>
        <v>18</v>
      </c>
    </row>
    <row r="432" spans="1:15">
      <c r="A432" s="2">
        <v>431</v>
      </c>
      <c r="B432" s="4">
        <f>DAY(E432)</f>
        <v>15</v>
      </c>
      <c r="C432" s="4">
        <f>MONTH(E432)</f>
        <v>10</v>
      </c>
      <c r="D432" s="4">
        <f>YEAR(E432)</f>
        <v>2023</v>
      </c>
      <c r="E432" s="3">
        <v>45214</v>
      </c>
      <c r="F432" s="4" t="s">
        <v>462</v>
      </c>
      <c r="G432" s="4" t="s">
        <v>8</v>
      </c>
      <c r="H432" s="4">
        <v>63</v>
      </c>
      <c r="I432" s="4" t="str" cm="1">
        <f t="array" ref="I432">_xlfn.IFS(H432&lt;30, "Young Adult", H432&lt;50, "Adult", H432&gt;=50, "Senior")</f>
        <v>Senior</v>
      </c>
      <c r="J432" s="4" t="s">
        <v>4</v>
      </c>
      <c r="K432" s="4">
        <v>4</v>
      </c>
      <c r="L432" s="16">
        <v>300</v>
      </c>
      <c r="M432" s="16">
        <f xml:space="preserve"> K432 * L432</f>
        <v>1200</v>
      </c>
      <c r="N432" s="16">
        <f>M432 * $Q$3</f>
        <v>18</v>
      </c>
      <c r="O432" s="16">
        <f>M432 * $Q$4</f>
        <v>24</v>
      </c>
    </row>
    <row r="433" spans="1:15">
      <c r="A433" s="2">
        <v>432</v>
      </c>
      <c r="B433" s="4">
        <f>DAY(E433)</f>
        <v>5</v>
      </c>
      <c r="C433" s="4">
        <f>MONTH(E433)</f>
        <v>1</v>
      </c>
      <c r="D433" s="4">
        <f>YEAR(E433)</f>
        <v>2023</v>
      </c>
      <c r="E433" s="3">
        <v>44931</v>
      </c>
      <c r="F433" s="4" t="s">
        <v>463</v>
      </c>
      <c r="G433" s="4" t="s">
        <v>7</v>
      </c>
      <c r="H433" s="4">
        <v>60</v>
      </c>
      <c r="I433" s="4" t="str" cm="1">
        <f t="array" ref="I433">_xlfn.IFS(H433&lt;30, "Young Adult", H433&lt;50, "Adult", H433&gt;=50, "Senior")</f>
        <v>Senior</v>
      </c>
      <c r="J433" s="4" t="s">
        <v>4</v>
      </c>
      <c r="K433" s="4">
        <v>2</v>
      </c>
      <c r="L433" s="16">
        <v>500</v>
      </c>
      <c r="M433" s="16">
        <f xml:space="preserve"> K433 * L433</f>
        <v>1000</v>
      </c>
      <c r="N433" s="16">
        <f>M433 * $Q$3</f>
        <v>15</v>
      </c>
      <c r="O433" s="16">
        <f>M433 * $Q$4</f>
        <v>20</v>
      </c>
    </row>
    <row r="434" spans="1:15">
      <c r="A434" s="2">
        <v>433</v>
      </c>
      <c r="B434" s="4">
        <f>DAY(E434)</f>
        <v>27</v>
      </c>
      <c r="C434" s="4">
        <f>MONTH(E434)</f>
        <v>2</v>
      </c>
      <c r="D434" s="4">
        <f>YEAR(E434)</f>
        <v>2023</v>
      </c>
      <c r="E434" s="3">
        <v>44984</v>
      </c>
      <c r="F434" s="4" t="s">
        <v>464</v>
      </c>
      <c r="G434" s="4" t="s">
        <v>8</v>
      </c>
      <c r="H434" s="4">
        <v>29</v>
      </c>
      <c r="I434" s="4" t="str" cm="1">
        <f t="array" ref="I434">_xlfn.IFS(H434&lt;30, "Young Adult", H434&lt;50, "Adult", H434&gt;=50, "Senior")</f>
        <v>Young Adult</v>
      </c>
      <c r="J434" s="4" t="s">
        <v>2</v>
      </c>
      <c r="K434" s="4">
        <v>4</v>
      </c>
      <c r="L434" s="16">
        <v>50</v>
      </c>
      <c r="M434" s="16">
        <f xml:space="preserve"> K434 * L434</f>
        <v>200</v>
      </c>
      <c r="N434" s="16">
        <f>M434 * $Q$3</f>
        <v>3</v>
      </c>
      <c r="O434" s="16">
        <f>M434 * $Q$4</f>
        <v>4</v>
      </c>
    </row>
    <row r="435" spans="1:15">
      <c r="A435" s="2">
        <v>434</v>
      </c>
      <c r="B435" s="4">
        <f>DAY(E435)</f>
        <v>8</v>
      </c>
      <c r="C435" s="4">
        <f>MONTH(E435)</f>
        <v>2</v>
      </c>
      <c r="D435" s="4">
        <f>YEAR(E435)</f>
        <v>2023</v>
      </c>
      <c r="E435" s="3">
        <v>44965</v>
      </c>
      <c r="F435" s="4" t="s">
        <v>465</v>
      </c>
      <c r="G435" s="4" t="s">
        <v>7</v>
      </c>
      <c r="H435" s="4">
        <v>43</v>
      </c>
      <c r="I435" s="4" t="str" cm="1">
        <f t="array" ref="I435">_xlfn.IFS(H435&lt;30, "Young Adult", H435&lt;50, "Adult", H435&gt;=50, "Senior")</f>
        <v>Adult</v>
      </c>
      <c r="J435" s="4" t="s">
        <v>4</v>
      </c>
      <c r="K435" s="4">
        <v>2</v>
      </c>
      <c r="L435" s="16">
        <v>25</v>
      </c>
      <c r="M435" s="16">
        <f xml:space="preserve"> K435 * L435</f>
        <v>50</v>
      </c>
      <c r="N435" s="16">
        <f>M435 * $Q$3</f>
        <v>0.75</v>
      </c>
      <c r="O435" s="16">
        <f>M435 * $Q$4</f>
        <v>1</v>
      </c>
    </row>
    <row r="436" spans="1:15">
      <c r="A436" s="2">
        <v>435</v>
      </c>
      <c r="B436" s="4">
        <f>DAY(E436)</f>
        <v>20</v>
      </c>
      <c r="C436" s="4">
        <f>MONTH(E436)</f>
        <v>12</v>
      </c>
      <c r="D436" s="4">
        <f>YEAR(E436)</f>
        <v>2023</v>
      </c>
      <c r="E436" s="3">
        <v>45280</v>
      </c>
      <c r="F436" s="4" t="s">
        <v>466</v>
      </c>
      <c r="G436" s="4" t="s">
        <v>7</v>
      </c>
      <c r="H436" s="4">
        <v>30</v>
      </c>
      <c r="I436" s="4" t="str" cm="1">
        <f t="array" ref="I436">_xlfn.IFS(H436&lt;30, "Young Adult", H436&lt;50, "Adult", H436&gt;=50, "Senior")</f>
        <v>Adult</v>
      </c>
      <c r="J436" s="4" t="s">
        <v>2</v>
      </c>
      <c r="K436" s="4">
        <v>3</v>
      </c>
      <c r="L436" s="16">
        <v>300</v>
      </c>
      <c r="M436" s="16">
        <f xml:space="preserve"> K436 * L436</f>
        <v>900</v>
      </c>
      <c r="N436" s="16">
        <f>M436 * $Q$3</f>
        <v>13.5</v>
      </c>
      <c r="O436" s="16">
        <f>M436 * $Q$4</f>
        <v>18</v>
      </c>
    </row>
    <row r="437" spans="1:15">
      <c r="A437" s="2">
        <v>436</v>
      </c>
      <c r="B437" s="4">
        <f>DAY(E437)</f>
        <v>18</v>
      </c>
      <c r="C437" s="4">
        <f>MONTH(E437)</f>
        <v>3</v>
      </c>
      <c r="D437" s="4">
        <f>YEAR(E437)</f>
        <v>2023</v>
      </c>
      <c r="E437" s="3">
        <v>45003</v>
      </c>
      <c r="F437" s="4" t="s">
        <v>467</v>
      </c>
      <c r="G437" s="4" t="s">
        <v>7</v>
      </c>
      <c r="H437" s="4">
        <v>57</v>
      </c>
      <c r="I437" s="4" t="str" cm="1">
        <f t="array" ref="I437">_xlfn.IFS(H437&lt;30, "Young Adult", H437&lt;50, "Adult", H437&gt;=50, "Senior")</f>
        <v>Senior</v>
      </c>
      <c r="J437" s="4" t="s">
        <v>3</v>
      </c>
      <c r="K437" s="4">
        <v>4</v>
      </c>
      <c r="L437" s="16">
        <v>30</v>
      </c>
      <c r="M437" s="16">
        <f xml:space="preserve"> K437 * L437</f>
        <v>120</v>
      </c>
      <c r="N437" s="16">
        <f>M437 * $Q$3</f>
        <v>1.7999999999999998</v>
      </c>
      <c r="O437" s="16">
        <f>M437 * $Q$4</f>
        <v>2.4</v>
      </c>
    </row>
    <row r="438" spans="1:15">
      <c r="A438" s="2">
        <v>437</v>
      </c>
      <c r="B438" s="4">
        <f>DAY(E438)</f>
        <v>7</v>
      </c>
      <c r="C438" s="4">
        <f>MONTH(E438)</f>
        <v>10</v>
      </c>
      <c r="D438" s="4">
        <f>YEAR(E438)</f>
        <v>2023</v>
      </c>
      <c r="E438" s="3">
        <v>45206</v>
      </c>
      <c r="F438" s="4" t="s">
        <v>468</v>
      </c>
      <c r="G438" s="4" t="s">
        <v>7</v>
      </c>
      <c r="H438" s="4">
        <v>35</v>
      </c>
      <c r="I438" s="4" t="str" cm="1">
        <f t="array" ref="I438">_xlfn.IFS(H438&lt;30, "Young Adult", H438&lt;50, "Adult", H438&gt;=50, "Senior")</f>
        <v>Adult</v>
      </c>
      <c r="J438" s="4" t="s">
        <v>4</v>
      </c>
      <c r="K438" s="4">
        <v>4</v>
      </c>
      <c r="L438" s="16">
        <v>300</v>
      </c>
      <c r="M438" s="16">
        <f xml:space="preserve"> K438 * L438</f>
        <v>1200</v>
      </c>
      <c r="N438" s="16">
        <f>M438 * $Q$3</f>
        <v>18</v>
      </c>
      <c r="O438" s="16">
        <f>M438 * $Q$4</f>
        <v>24</v>
      </c>
    </row>
    <row r="439" spans="1:15">
      <c r="A439" s="2">
        <v>438</v>
      </c>
      <c r="B439" s="4">
        <f>DAY(E439)</f>
        <v>19</v>
      </c>
      <c r="C439" s="4">
        <f>MONTH(E439)</f>
        <v>1</v>
      </c>
      <c r="D439" s="4">
        <f>YEAR(E439)</f>
        <v>2023</v>
      </c>
      <c r="E439" s="3">
        <v>44945</v>
      </c>
      <c r="F439" s="4" t="s">
        <v>469</v>
      </c>
      <c r="G439" s="4" t="s">
        <v>7</v>
      </c>
      <c r="H439" s="4">
        <v>42</v>
      </c>
      <c r="I439" s="4" t="str" cm="1">
        <f t="array" ref="I439">_xlfn.IFS(H439&lt;30, "Young Adult", H439&lt;50, "Adult", H439&gt;=50, "Senior")</f>
        <v>Adult</v>
      </c>
      <c r="J439" s="4" t="s">
        <v>3</v>
      </c>
      <c r="K439" s="4">
        <v>1</v>
      </c>
      <c r="L439" s="16">
        <v>30</v>
      </c>
      <c r="M439" s="16">
        <f xml:space="preserve"> K439 * L439</f>
        <v>30</v>
      </c>
      <c r="N439" s="16">
        <f>M439 * $Q$3</f>
        <v>0.44999999999999996</v>
      </c>
      <c r="O439" s="16">
        <f>M439 * $Q$4</f>
        <v>0.6</v>
      </c>
    </row>
    <row r="440" spans="1:15">
      <c r="A440" s="2">
        <v>439</v>
      </c>
      <c r="B440" s="4">
        <f>DAY(E440)</f>
        <v>9</v>
      </c>
      <c r="C440" s="4">
        <f>MONTH(E440)</f>
        <v>7</v>
      </c>
      <c r="D440" s="4">
        <f>YEAR(E440)</f>
        <v>2023</v>
      </c>
      <c r="E440" s="3">
        <v>45116</v>
      </c>
      <c r="F440" s="4" t="s">
        <v>470</v>
      </c>
      <c r="G440" s="4" t="s">
        <v>8</v>
      </c>
      <c r="H440" s="4">
        <v>50</v>
      </c>
      <c r="I440" s="4" t="str" cm="1">
        <f t="array" ref="I440">_xlfn.IFS(H440&lt;30, "Young Adult", H440&lt;50, "Adult", H440&gt;=50, "Senior")</f>
        <v>Senior</v>
      </c>
      <c r="J440" s="4" t="s">
        <v>3</v>
      </c>
      <c r="K440" s="4">
        <v>3</v>
      </c>
      <c r="L440" s="16">
        <v>25</v>
      </c>
      <c r="M440" s="16">
        <f xml:space="preserve"> K440 * L440</f>
        <v>75</v>
      </c>
      <c r="N440" s="16">
        <f>M440 * $Q$3</f>
        <v>1.125</v>
      </c>
      <c r="O440" s="16">
        <f>M440 * $Q$4</f>
        <v>1.5</v>
      </c>
    </row>
    <row r="441" spans="1:15">
      <c r="A441" s="2">
        <v>440</v>
      </c>
      <c r="B441" s="4">
        <f>DAY(E441)</f>
        <v>26</v>
      </c>
      <c r="C441" s="4">
        <f>MONTH(E441)</f>
        <v>10</v>
      </c>
      <c r="D441" s="4">
        <f>YEAR(E441)</f>
        <v>2023</v>
      </c>
      <c r="E441" s="3">
        <v>45225</v>
      </c>
      <c r="F441" s="4" t="s">
        <v>471</v>
      </c>
      <c r="G441" s="4" t="s">
        <v>8</v>
      </c>
      <c r="H441" s="4">
        <v>64</v>
      </c>
      <c r="I441" s="4" t="str" cm="1">
        <f t="array" ref="I441">_xlfn.IFS(H441&lt;30, "Young Adult", H441&lt;50, "Adult", H441&gt;=50, "Senior")</f>
        <v>Senior</v>
      </c>
      <c r="J441" s="4" t="s">
        <v>3</v>
      </c>
      <c r="K441" s="4">
        <v>2</v>
      </c>
      <c r="L441" s="16">
        <v>300</v>
      </c>
      <c r="M441" s="16">
        <f xml:space="preserve"> K441 * L441</f>
        <v>600</v>
      </c>
      <c r="N441" s="16">
        <f>M441 * $Q$3</f>
        <v>9</v>
      </c>
      <c r="O441" s="16">
        <f>M441 * $Q$4</f>
        <v>12</v>
      </c>
    </row>
    <row r="442" spans="1:15">
      <c r="A442" s="2">
        <v>441</v>
      </c>
      <c r="B442" s="4">
        <f>DAY(E442)</f>
        <v>10</v>
      </c>
      <c r="C442" s="4">
        <f>MONTH(E442)</f>
        <v>10</v>
      </c>
      <c r="D442" s="4">
        <f>YEAR(E442)</f>
        <v>2023</v>
      </c>
      <c r="E442" s="3">
        <v>45209</v>
      </c>
      <c r="F442" s="4" t="s">
        <v>472</v>
      </c>
      <c r="G442" s="4" t="s">
        <v>8</v>
      </c>
      <c r="H442" s="4">
        <v>57</v>
      </c>
      <c r="I442" s="4" t="str" cm="1">
        <f t="array" ref="I442">_xlfn.IFS(H442&lt;30, "Young Adult", H442&lt;50, "Adult", H442&gt;=50, "Senior")</f>
        <v>Senior</v>
      </c>
      <c r="J442" s="4" t="s">
        <v>2</v>
      </c>
      <c r="K442" s="4">
        <v>4</v>
      </c>
      <c r="L442" s="16">
        <v>300</v>
      </c>
      <c r="M442" s="16">
        <f xml:space="preserve"> K442 * L442</f>
        <v>1200</v>
      </c>
      <c r="N442" s="16">
        <f>M442 * $Q$3</f>
        <v>18</v>
      </c>
      <c r="O442" s="16">
        <f>M442 * $Q$4</f>
        <v>24</v>
      </c>
    </row>
    <row r="443" spans="1:15">
      <c r="A443" s="2">
        <v>442</v>
      </c>
      <c r="B443" s="4">
        <f>DAY(E443)</f>
        <v>17</v>
      </c>
      <c r="C443" s="4">
        <f>MONTH(E443)</f>
        <v>3</v>
      </c>
      <c r="D443" s="4">
        <f>YEAR(E443)</f>
        <v>2023</v>
      </c>
      <c r="E443" s="3">
        <v>45002</v>
      </c>
      <c r="F443" s="4" t="s">
        <v>473</v>
      </c>
      <c r="G443" s="4" t="s">
        <v>7</v>
      </c>
      <c r="H443" s="4">
        <v>60</v>
      </c>
      <c r="I443" s="4" t="str" cm="1">
        <f t="array" ref="I443">_xlfn.IFS(H443&lt;30, "Young Adult", H443&lt;50, "Adult", H443&gt;=50, "Senior")</f>
        <v>Senior</v>
      </c>
      <c r="J443" s="4" t="s">
        <v>3</v>
      </c>
      <c r="K443" s="4">
        <v>4</v>
      </c>
      <c r="L443" s="16">
        <v>25</v>
      </c>
      <c r="M443" s="16">
        <f xml:space="preserve"> K443 * L443</f>
        <v>100</v>
      </c>
      <c r="N443" s="16">
        <f>M443 * $Q$3</f>
        <v>1.5</v>
      </c>
      <c r="O443" s="16">
        <f>M443 * $Q$4</f>
        <v>2</v>
      </c>
    </row>
    <row r="444" spans="1:15">
      <c r="A444" s="2">
        <v>443</v>
      </c>
      <c r="B444" s="4">
        <f>DAY(E444)</f>
        <v>9</v>
      </c>
      <c r="C444" s="4">
        <f>MONTH(E444)</f>
        <v>8</v>
      </c>
      <c r="D444" s="4">
        <f>YEAR(E444)</f>
        <v>2023</v>
      </c>
      <c r="E444" s="3">
        <v>45147</v>
      </c>
      <c r="F444" s="4" t="s">
        <v>474</v>
      </c>
      <c r="G444" s="4" t="s">
        <v>8</v>
      </c>
      <c r="H444" s="4">
        <v>29</v>
      </c>
      <c r="I444" s="4" t="str" cm="1">
        <f t="array" ref="I444">_xlfn.IFS(H444&lt;30, "Young Adult", H444&lt;50, "Adult", H444&gt;=50, "Senior")</f>
        <v>Young Adult</v>
      </c>
      <c r="J444" s="4" t="s">
        <v>3</v>
      </c>
      <c r="K444" s="4">
        <v>2</v>
      </c>
      <c r="L444" s="16">
        <v>300</v>
      </c>
      <c r="M444" s="16">
        <f xml:space="preserve"> K444 * L444</f>
        <v>600</v>
      </c>
      <c r="N444" s="16">
        <f>M444 * $Q$3</f>
        <v>9</v>
      </c>
      <c r="O444" s="16">
        <f>M444 * $Q$4</f>
        <v>12</v>
      </c>
    </row>
    <row r="445" spans="1:15">
      <c r="A445" s="2">
        <v>444</v>
      </c>
      <c r="B445" s="4">
        <f>DAY(E445)</f>
        <v>7</v>
      </c>
      <c r="C445" s="4">
        <f>MONTH(E445)</f>
        <v>3</v>
      </c>
      <c r="D445" s="4">
        <f>YEAR(E445)</f>
        <v>2023</v>
      </c>
      <c r="E445" s="3">
        <v>44992</v>
      </c>
      <c r="F445" s="4" t="s">
        <v>475</v>
      </c>
      <c r="G445" s="4" t="s">
        <v>7</v>
      </c>
      <c r="H445" s="4">
        <v>61</v>
      </c>
      <c r="I445" s="4" t="str" cm="1">
        <f t="array" ref="I445">_xlfn.IFS(H445&lt;30, "Young Adult", H445&lt;50, "Adult", H445&gt;=50, "Senior")</f>
        <v>Senior</v>
      </c>
      <c r="J445" s="4" t="s">
        <v>3</v>
      </c>
      <c r="K445" s="4">
        <v>3</v>
      </c>
      <c r="L445" s="16">
        <v>30</v>
      </c>
      <c r="M445" s="16">
        <f xml:space="preserve"> K445 * L445</f>
        <v>90</v>
      </c>
      <c r="N445" s="16">
        <f>M445 * $Q$3</f>
        <v>1.3499999999999999</v>
      </c>
      <c r="O445" s="16">
        <f>M445 * $Q$4</f>
        <v>1.8</v>
      </c>
    </row>
    <row r="446" spans="1:15">
      <c r="A446" s="2">
        <v>445</v>
      </c>
      <c r="B446" s="4">
        <f>DAY(E446)</f>
        <v>22</v>
      </c>
      <c r="C446" s="4">
        <f>MONTH(E446)</f>
        <v>1</v>
      </c>
      <c r="D446" s="4">
        <f>YEAR(E446)</f>
        <v>2023</v>
      </c>
      <c r="E446" s="3">
        <v>44948</v>
      </c>
      <c r="F446" s="4" t="s">
        <v>476</v>
      </c>
      <c r="G446" s="4" t="s">
        <v>7</v>
      </c>
      <c r="H446" s="4">
        <v>53</v>
      </c>
      <c r="I446" s="4" t="str" cm="1">
        <f t="array" ref="I446">_xlfn.IFS(H446&lt;30, "Young Adult", H446&lt;50, "Adult", H446&gt;=50, "Senior")</f>
        <v>Senior</v>
      </c>
      <c r="J446" s="4" t="s">
        <v>4</v>
      </c>
      <c r="K446" s="4">
        <v>1</v>
      </c>
      <c r="L446" s="16">
        <v>300</v>
      </c>
      <c r="M446" s="16">
        <f xml:space="preserve"> K446 * L446</f>
        <v>300</v>
      </c>
      <c r="N446" s="16">
        <f>M446 * $Q$3</f>
        <v>4.5</v>
      </c>
      <c r="O446" s="16">
        <f>M446 * $Q$4</f>
        <v>6</v>
      </c>
    </row>
    <row r="447" spans="1:15">
      <c r="A447" s="2">
        <v>446</v>
      </c>
      <c r="B447" s="4">
        <f>DAY(E447)</f>
        <v>7</v>
      </c>
      <c r="C447" s="4">
        <f>MONTH(E447)</f>
        <v>6</v>
      </c>
      <c r="D447" s="4">
        <f>YEAR(E447)</f>
        <v>2023</v>
      </c>
      <c r="E447" s="3">
        <v>45084</v>
      </c>
      <c r="F447" s="4" t="s">
        <v>477</v>
      </c>
      <c r="G447" s="4" t="s">
        <v>8</v>
      </c>
      <c r="H447" s="4">
        <v>21</v>
      </c>
      <c r="I447" s="4" t="str" cm="1">
        <f t="array" ref="I447">_xlfn.IFS(H447&lt;30, "Young Adult", H447&lt;50, "Adult", H447&gt;=50, "Senior")</f>
        <v>Young Adult</v>
      </c>
      <c r="J447" s="4" t="s">
        <v>4</v>
      </c>
      <c r="K447" s="4">
        <v>1</v>
      </c>
      <c r="L447" s="16">
        <v>50</v>
      </c>
      <c r="M447" s="16">
        <f xml:space="preserve"> K447 * L447</f>
        <v>50</v>
      </c>
      <c r="N447" s="16">
        <f>M447 * $Q$3</f>
        <v>0.75</v>
      </c>
      <c r="O447" s="16">
        <f>M447 * $Q$4</f>
        <v>1</v>
      </c>
    </row>
    <row r="448" spans="1:15">
      <c r="A448" s="2">
        <v>447</v>
      </c>
      <c r="B448" s="4">
        <f>DAY(E448)</f>
        <v>6</v>
      </c>
      <c r="C448" s="4">
        <f>MONTH(E448)</f>
        <v>7</v>
      </c>
      <c r="D448" s="4">
        <f>YEAR(E448)</f>
        <v>2023</v>
      </c>
      <c r="E448" s="3">
        <v>45113</v>
      </c>
      <c r="F448" s="4" t="s">
        <v>478</v>
      </c>
      <c r="G448" s="4" t="s">
        <v>8</v>
      </c>
      <c r="H448" s="4">
        <v>22</v>
      </c>
      <c r="I448" s="4" t="str" cm="1">
        <f t="array" ref="I448">_xlfn.IFS(H448&lt;30, "Young Adult", H448&lt;50, "Adult", H448&gt;=50, "Senior")</f>
        <v>Young Adult</v>
      </c>
      <c r="J448" s="4" t="s">
        <v>2</v>
      </c>
      <c r="K448" s="4">
        <v>4</v>
      </c>
      <c r="L448" s="16">
        <v>500</v>
      </c>
      <c r="M448" s="16">
        <f xml:space="preserve"> K448 * L448</f>
        <v>2000</v>
      </c>
      <c r="N448" s="16">
        <f>M448 * $Q$3</f>
        <v>30</v>
      </c>
      <c r="O448" s="16">
        <f>M448 * $Q$4</f>
        <v>40</v>
      </c>
    </row>
    <row r="449" spans="1:15">
      <c r="A449" s="2">
        <v>448</v>
      </c>
      <c r="B449" s="4">
        <f>DAY(E449)</f>
        <v>21</v>
      </c>
      <c r="C449" s="4">
        <f>MONTH(E449)</f>
        <v>1</v>
      </c>
      <c r="D449" s="4">
        <f>YEAR(E449)</f>
        <v>2023</v>
      </c>
      <c r="E449" s="3">
        <v>44947</v>
      </c>
      <c r="F449" s="4" t="s">
        <v>479</v>
      </c>
      <c r="G449" s="4" t="s">
        <v>7</v>
      </c>
      <c r="H449" s="4">
        <v>54</v>
      </c>
      <c r="I449" s="4" t="str" cm="1">
        <f t="array" ref="I449">_xlfn.IFS(H449&lt;30, "Young Adult", H449&lt;50, "Adult", H449&gt;=50, "Senior")</f>
        <v>Senior</v>
      </c>
      <c r="J449" s="4" t="s">
        <v>2</v>
      </c>
      <c r="K449" s="4">
        <v>2</v>
      </c>
      <c r="L449" s="16">
        <v>30</v>
      </c>
      <c r="M449" s="16">
        <f xml:space="preserve"> K449 * L449</f>
        <v>60</v>
      </c>
      <c r="N449" s="16">
        <f>M449 * $Q$3</f>
        <v>0.89999999999999991</v>
      </c>
      <c r="O449" s="16">
        <f>M449 * $Q$4</f>
        <v>1.2</v>
      </c>
    </row>
    <row r="450" spans="1:15">
      <c r="A450" s="2">
        <v>449</v>
      </c>
      <c r="B450" s="4">
        <f>DAY(E450)</f>
        <v>3</v>
      </c>
      <c r="C450" s="4">
        <f>MONTH(E450)</f>
        <v>7</v>
      </c>
      <c r="D450" s="4">
        <f>YEAR(E450)</f>
        <v>2023</v>
      </c>
      <c r="E450" s="3">
        <v>45110</v>
      </c>
      <c r="F450" s="4" t="s">
        <v>480</v>
      </c>
      <c r="G450" s="4" t="s">
        <v>8</v>
      </c>
      <c r="H450" s="4">
        <v>25</v>
      </c>
      <c r="I450" s="4" t="str" cm="1">
        <f t="array" ref="I450">_xlfn.IFS(H450&lt;30, "Young Adult", H450&lt;50, "Adult", H450&gt;=50, "Senior")</f>
        <v>Young Adult</v>
      </c>
      <c r="J450" s="4" t="s">
        <v>4</v>
      </c>
      <c r="K450" s="4">
        <v>4</v>
      </c>
      <c r="L450" s="16">
        <v>50</v>
      </c>
      <c r="M450" s="16">
        <f xml:space="preserve"> K450 * L450</f>
        <v>200</v>
      </c>
      <c r="N450" s="16">
        <f>M450 * $Q$3</f>
        <v>3</v>
      </c>
      <c r="O450" s="16">
        <f>M450 * $Q$4</f>
        <v>4</v>
      </c>
    </row>
    <row r="451" spans="1:15">
      <c r="A451" s="2">
        <v>450</v>
      </c>
      <c r="B451" s="4">
        <f>DAY(E451)</f>
        <v>18</v>
      </c>
      <c r="C451" s="4">
        <f>MONTH(E451)</f>
        <v>4</v>
      </c>
      <c r="D451" s="4">
        <f>YEAR(E451)</f>
        <v>2023</v>
      </c>
      <c r="E451" s="3">
        <v>45034</v>
      </c>
      <c r="F451" s="4" t="s">
        <v>481</v>
      </c>
      <c r="G451" s="4" t="s">
        <v>7</v>
      </c>
      <c r="H451" s="4">
        <v>59</v>
      </c>
      <c r="I451" s="4" t="str" cm="1">
        <f t="array" ref="I451">_xlfn.IFS(H451&lt;30, "Young Adult", H451&lt;50, "Adult", H451&gt;=50, "Senior")</f>
        <v>Senior</v>
      </c>
      <c r="J451" s="4" t="s">
        <v>2</v>
      </c>
      <c r="K451" s="4">
        <v>2</v>
      </c>
      <c r="L451" s="16">
        <v>25</v>
      </c>
      <c r="M451" s="16">
        <f xml:space="preserve"> K451 * L451</f>
        <v>50</v>
      </c>
      <c r="N451" s="16">
        <f>M451 * $Q$3</f>
        <v>0.75</v>
      </c>
      <c r="O451" s="16">
        <f>M451 * $Q$4</f>
        <v>1</v>
      </c>
    </row>
    <row r="452" spans="1:15">
      <c r="A452" s="2">
        <v>451</v>
      </c>
      <c r="B452" s="4">
        <f>DAY(E452)</f>
        <v>16</v>
      </c>
      <c r="C452" s="4">
        <f>MONTH(E452)</f>
        <v>12</v>
      </c>
      <c r="D452" s="4">
        <f>YEAR(E452)</f>
        <v>2023</v>
      </c>
      <c r="E452" s="3">
        <v>45276</v>
      </c>
      <c r="F452" s="4" t="s">
        <v>482</v>
      </c>
      <c r="G452" s="4" t="s">
        <v>7</v>
      </c>
      <c r="H452" s="4">
        <v>45</v>
      </c>
      <c r="I452" s="4" t="str" cm="1">
        <f t="array" ref="I452">_xlfn.IFS(H452&lt;30, "Young Adult", H452&lt;50, "Adult", H452&gt;=50, "Senior")</f>
        <v>Adult</v>
      </c>
      <c r="J452" s="4" t="s">
        <v>4</v>
      </c>
      <c r="K452" s="4">
        <v>1</v>
      </c>
      <c r="L452" s="16">
        <v>30</v>
      </c>
      <c r="M452" s="16">
        <f xml:space="preserve"> K452 * L452</f>
        <v>30</v>
      </c>
      <c r="N452" s="16">
        <f>M452 * $Q$3</f>
        <v>0.44999999999999996</v>
      </c>
      <c r="O452" s="16">
        <f>M452 * $Q$4</f>
        <v>0.6</v>
      </c>
    </row>
    <row r="453" spans="1:15">
      <c r="A453" s="2">
        <v>452</v>
      </c>
      <c r="B453" s="4">
        <f>DAY(E453)</f>
        <v>8</v>
      </c>
      <c r="C453" s="4">
        <f>MONTH(E453)</f>
        <v>5</v>
      </c>
      <c r="D453" s="4">
        <f>YEAR(E453)</f>
        <v>2023</v>
      </c>
      <c r="E453" s="3">
        <v>45054</v>
      </c>
      <c r="F453" s="4" t="s">
        <v>483</v>
      </c>
      <c r="G453" s="4" t="s">
        <v>7</v>
      </c>
      <c r="H453" s="4">
        <v>48</v>
      </c>
      <c r="I453" s="4" t="str" cm="1">
        <f t="array" ref="I453">_xlfn.IFS(H453&lt;30, "Young Adult", H453&lt;50, "Adult", H453&gt;=50, "Senior")</f>
        <v>Adult</v>
      </c>
      <c r="J453" s="4" t="s">
        <v>3</v>
      </c>
      <c r="K453" s="4">
        <v>3</v>
      </c>
      <c r="L453" s="16">
        <v>500</v>
      </c>
      <c r="M453" s="16">
        <f xml:space="preserve"> K453 * L453</f>
        <v>1500</v>
      </c>
      <c r="N453" s="16">
        <f>M453 * $Q$3</f>
        <v>22.5</v>
      </c>
      <c r="O453" s="16">
        <f>M453 * $Q$4</f>
        <v>30</v>
      </c>
    </row>
    <row r="454" spans="1:15">
      <c r="A454" s="2">
        <v>453</v>
      </c>
      <c r="B454" s="4">
        <f>DAY(E454)</f>
        <v>8</v>
      </c>
      <c r="C454" s="4">
        <f>MONTH(E454)</f>
        <v>12</v>
      </c>
      <c r="D454" s="4">
        <f>YEAR(E454)</f>
        <v>2023</v>
      </c>
      <c r="E454" s="3">
        <v>45268</v>
      </c>
      <c r="F454" s="4" t="s">
        <v>484</v>
      </c>
      <c r="G454" s="4" t="s">
        <v>7</v>
      </c>
      <c r="H454" s="4">
        <v>26</v>
      </c>
      <c r="I454" s="4" t="str" cm="1">
        <f t="array" ref="I454">_xlfn.IFS(H454&lt;30, "Young Adult", H454&lt;50, "Adult", H454&gt;=50, "Senior")</f>
        <v>Young Adult</v>
      </c>
      <c r="J454" s="4" t="s">
        <v>3</v>
      </c>
      <c r="K454" s="4">
        <v>2</v>
      </c>
      <c r="L454" s="16">
        <v>500</v>
      </c>
      <c r="M454" s="16">
        <f xml:space="preserve"> K454 * L454</f>
        <v>1000</v>
      </c>
      <c r="N454" s="16">
        <f>M454 * $Q$3</f>
        <v>15</v>
      </c>
      <c r="O454" s="16">
        <f>M454 * $Q$4</f>
        <v>20</v>
      </c>
    </row>
    <row r="455" spans="1:15">
      <c r="A455" s="2">
        <v>454</v>
      </c>
      <c r="B455" s="4">
        <f>DAY(E455)</f>
        <v>22</v>
      </c>
      <c r="C455" s="4">
        <f>MONTH(E455)</f>
        <v>2</v>
      </c>
      <c r="D455" s="4">
        <f>YEAR(E455)</f>
        <v>2023</v>
      </c>
      <c r="E455" s="3">
        <v>44979</v>
      </c>
      <c r="F455" s="4" t="s">
        <v>485</v>
      </c>
      <c r="G455" s="4" t="s">
        <v>7</v>
      </c>
      <c r="H455" s="4">
        <v>46</v>
      </c>
      <c r="I455" s="4" t="str" cm="1">
        <f t="array" ref="I455">_xlfn.IFS(H455&lt;30, "Young Adult", H455&lt;50, "Adult", H455&gt;=50, "Senior")</f>
        <v>Adult</v>
      </c>
      <c r="J455" s="4" t="s">
        <v>2</v>
      </c>
      <c r="K455" s="4">
        <v>1</v>
      </c>
      <c r="L455" s="16">
        <v>25</v>
      </c>
      <c r="M455" s="16">
        <f xml:space="preserve"> K455 * L455</f>
        <v>25</v>
      </c>
      <c r="N455" s="16">
        <f>M455 * $Q$3</f>
        <v>0.375</v>
      </c>
      <c r="O455" s="16">
        <f>M455 * $Q$4</f>
        <v>0.5</v>
      </c>
    </row>
    <row r="456" spans="1:15">
      <c r="A456" s="2">
        <v>455</v>
      </c>
      <c r="B456" s="4">
        <f>DAY(E456)</f>
        <v>1</v>
      </c>
      <c r="C456" s="4">
        <f>MONTH(E456)</f>
        <v>7</v>
      </c>
      <c r="D456" s="4">
        <f>YEAR(E456)</f>
        <v>2023</v>
      </c>
      <c r="E456" s="3">
        <v>45108</v>
      </c>
      <c r="F456" s="4" t="s">
        <v>486</v>
      </c>
      <c r="G456" s="4" t="s">
        <v>8</v>
      </c>
      <c r="H456" s="4">
        <v>31</v>
      </c>
      <c r="I456" s="4" t="str" cm="1">
        <f t="array" ref="I456">_xlfn.IFS(H456&lt;30, "Young Adult", H456&lt;50, "Adult", H456&gt;=50, "Senior")</f>
        <v>Adult</v>
      </c>
      <c r="J456" s="4" t="s">
        <v>4</v>
      </c>
      <c r="K456" s="4">
        <v>4</v>
      </c>
      <c r="L456" s="16">
        <v>25</v>
      </c>
      <c r="M456" s="16">
        <f xml:space="preserve"> K456 * L456</f>
        <v>100</v>
      </c>
      <c r="N456" s="16">
        <f>M456 * $Q$3</f>
        <v>1.5</v>
      </c>
      <c r="O456" s="16">
        <f>M456 * $Q$4</f>
        <v>2</v>
      </c>
    </row>
    <row r="457" spans="1:15">
      <c r="A457" s="2">
        <v>456</v>
      </c>
      <c r="B457" s="4">
        <f>DAY(E457)</f>
        <v>14</v>
      </c>
      <c r="C457" s="4">
        <f>MONTH(E457)</f>
        <v>10</v>
      </c>
      <c r="D457" s="4">
        <f>YEAR(E457)</f>
        <v>2023</v>
      </c>
      <c r="E457" s="3">
        <v>45213</v>
      </c>
      <c r="F457" s="4" t="s">
        <v>487</v>
      </c>
      <c r="G457" s="4" t="s">
        <v>8</v>
      </c>
      <c r="H457" s="4">
        <v>57</v>
      </c>
      <c r="I457" s="4" t="str" cm="1">
        <f t="array" ref="I457">_xlfn.IFS(H457&lt;30, "Young Adult", H457&lt;50, "Adult", H457&gt;=50, "Senior")</f>
        <v>Senior</v>
      </c>
      <c r="J457" s="4" t="s">
        <v>4</v>
      </c>
      <c r="K457" s="4">
        <v>2</v>
      </c>
      <c r="L457" s="16">
        <v>30</v>
      </c>
      <c r="M457" s="16">
        <f xml:space="preserve"> K457 * L457</f>
        <v>60</v>
      </c>
      <c r="N457" s="16">
        <f>M457 * $Q$3</f>
        <v>0.89999999999999991</v>
      </c>
      <c r="O457" s="16">
        <f>M457 * $Q$4</f>
        <v>1.2</v>
      </c>
    </row>
    <row r="458" spans="1:15">
      <c r="A458" s="2">
        <v>457</v>
      </c>
      <c r="B458" s="4">
        <f>DAY(E458)</f>
        <v>28</v>
      </c>
      <c r="C458" s="4">
        <f>MONTH(E458)</f>
        <v>7</v>
      </c>
      <c r="D458" s="4">
        <f>YEAR(E458)</f>
        <v>2023</v>
      </c>
      <c r="E458" s="3">
        <v>45135</v>
      </c>
      <c r="F458" s="4" t="s">
        <v>488</v>
      </c>
      <c r="G458" s="4" t="s">
        <v>7</v>
      </c>
      <c r="H458" s="4">
        <v>58</v>
      </c>
      <c r="I458" s="4" t="str" cm="1">
        <f t="array" ref="I458">_xlfn.IFS(H458&lt;30, "Young Adult", H458&lt;50, "Adult", H458&gt;=50, "Senior")</f>
        <v>Senior</v>
      </c>
      <c r="J458" s="4" t="s">
        <v>2</v>
      </c>
      <c r="K458" s="4">
        <v>3</v>
      </c>
      <c r="L458" s="16">
        <v>300</v>
      </c>
      <c r="M458" s="16">
        <f xml:space="preserve"> K458 * L458</f>
        <v>900</v>
      </c>
      <c r="N458" s="16">
        <f>M458 * $Q$3</f>
        <v>13.5</v>
      </c>
      <c r="O458" s="16">
        <f>M458 * $Q$4</f>
        <v>18</v>
      </c>
    </row>
    <row r="459" spans="1:15">
      <c r="A459" s="2">
        <v>458</v>
      </c>
      <c r="B459" s="4">
        <f>DAY(E459)</f>
        <v>14</v>
      </c>
      <c r="C459" s="4">
        <f>MONTH(E459)</f>
        <v>11</v>
      </c>
      <c r="D459" s="4">
        <f>YEAR(E459)</f>
        <v>2023</v>
      </c>
      <c r="E459" s="3">
        <v>45244</v>
      </c>
      <c r="F459" s="4" t="s">
        <v>489</v>
      </c>
      <c r="G459" s="4" t="s">
        <v>7</v>
      </c>
      <c r="H459" s="4">
        <v>39</v>
      </c>
      <c r="I459" s="4" t="str" cm="1">
        <f t="array" ref="I459">_xlfn.IFS(H459&lt;30, "Young Adult", H459&lt;50, "Adult", H459&gt;=50, "Senior")</f>
        <v>Adult</v>
      </c>
      <c r="J459" s="4" t="s">
        <v>4</v>
      </c>
      <c r="K459" s="4">
        <v>4</v>
      </c>
      <c r="L459" s="16">
        <v>25</v>
      </c>
      <c r="M459" s="16">
        <f xml:space="preserve"> K459 * L459</f>
        <v>100</v>
      </c>
      <c r="N459" s="16">
        <f>M459 * $Q$3</f>
        <v>1.5</v>
      </c>
      <c r="O459" s="16">
        <f>M459 * $Q$4</f>
        <v>2</v>
      </c>
    </row>
    <row r="460" spans="1:15">
      <c r="A460" s="2">
        <v>459</v>
      </c>
      <c r="B460" s="4">
        <f>DAY(E460)</f>
        <v>21</v>
      </c>
      <c r="C460" s="4">
        <f>MONTH(E460)</f>
        <v>3</v>
      </c>
      <c r="D460" s="4">
        <f>YEAR(E460)</f>
        <v>2023</v>
      </c>
      <c r="E460" s="3">
        <v>45006</v>
      </c>
      <c r="F460" s="4" t="s">
        <v>490</v>
      </c>
      <c r="G460" s="4" t="s">
        <v>8</v>
      </c>
      <c r="H460" s="4">
        <v>28</v>
      </c>
      <c r="I460" s="4" t="str" cm="1">
        <f t="array" ref="I460">_xlfn.IFS(H460&lt;30, "Young Adult", H460&lt;50, "Adult", H460&gt;=50, "Senior")</f>
        <v>Young Adult</v>
      </c>
      <c r="J460" s="4" t="s">
        <v>3</v>
      </c>
      <c r="K460" s="4">
        <v>4</v>
      </c>
      <c r="L460" s="16">
        <v>300</v>
      </c>
      <c r="M460" s="16">
        <f xml:space="preserve"> K460 * L460</f>
        <v>1200</v>
      </c>
      <c r="N460" s="16">
        <f>M460 * $Q$3</f>
        <v>18</v>
      </c>
      <c r="O460" s="16">
        <f>M460 * $Q$4</f>
        <v>24</v>
      </c>
    </row>
    <row r="461" spans="1:15">
      <c r="A461" s="2">
        <v>460</v>
      </c>
      <c r="B461" s="4">
        <f>DAY(E461)</f>
        <v>2</v>
      </c>
      <c r="C461" s="4">
        <f>MONTH(E461)</f>
        <v>5</v>
      </c>
      <c r="D461" s="4">
        <f>YEAR(E461)</f>
        <v>2023</v>
      </c>
      <c r="E461" s="3">
        <v>45048</v>
      </c>
      <c r="F461" s="4" t="s">
        <v>491</v>
      </c>
      <c r="G461" s="4" t="s">
        <v>8</v>
      </c>
      <c r="H461" s="4">
        <v>40</v>
      </c>
      <c r="I461" s="4" t="str" cm="1">
        <f t="array" ref="I461">_xlfn.IFS(H461&lt;30, "Young Adult", H461&lt;50, "Adult", H461&gt;=50, "Senior")</f>
        <v>Adult</v>
      </c>
      <c r="J461" s="4" t="s">
        <v>2</v>
      </c>
      <c r="K461" s="4">
        <v>1</v>
      </c>
      <c r="L461" s="16">
        <v>50</v>
      </c>
      <c r="M461" s="16">
        <f xml:space="preserve"> K461 * L461</f>
        <v>50</v>
      </c>
      <c r="N461" s="16">
        <f>M461 * $Q$3</f>
        <v>0.75</v>
      </c>
      <c r="O461" s="16">
        <f>M461 * $Q$4</f>
        <v>1</v>
      </c>
    </row>
    <row r="462" spans="1:15">
      <c r="A462" s="2">
        <v>461</v>
      </c>
      <c r="B462" s="4">
        <f>DAY(E462)</f>
        <v>25</v>
      </c>
      <c r="C462" s="4">
        <f>MONTH(E462)</f>
        <v>3</v>
      </c>
      <c r="D462" s="4">
        <f>YEAR(E462)</f>
        <v>2023</v>
      </c>
      <c r="E462" s="3">
        <v>45010</v>
      </c>
      <c r="F462" s="4" t="s">
        <v>492</v>
      </c>
      <c r="G462" s="4" t="s">
        <v>7</v>
      </c>
      <c r="H462" s="4">
        <v>18</v>
      </c>
      <c r="I462" s="4" t="str" cm="1">
        <f t="array" ref="I462">_xlfn.IFS(H462&lt;30, "Young Adult", H462&lt;50, "Adult", H462&gt;=50, "Senior")</f>
        <v>Young Adult</v>
      </c>
      <c r="J462" s="4" t="s">
        <v>2</v>
      </c>
      <c r="K462" s="4">
        <v>2</v>
      </c>
      <c r="L462" s="16">
        <v>500</v>
      </c>
      <c r="M462" s="16">
        <f xml:space="preserve"> K462 * L462</f>
        <v>1000</v>
      </c>
      <c r="N462" s="16">
        <f>M462 * $Q$3</f>
        <v>15</v>
      </c>
      <c r="O462" s="16">
        <f>M462 * $Q$4</f>
        <v>20</v>
      </c>
    </row>
    <row r="463" spans="1:15">
      <c r="A463" s="2">
        <v>462</v>
      </c>
      <c r="B463" s="4">
        <f>DAY(E463)</f>
        <v>1</v>
      </c>
      <c r="C463" s="4">
        <f>MONTH(E463)</f>
        <v>4</v>
      </c>
      <c r="D463" s="4">
        <f>YEAR(E463)</f>
        <v>2023</v>
      </c>
      <c r="E463" s="3">
        <v>45017</v>
      </c>
      <c r="F463" s="4" t="s">
        <v>493</v>
      </c>
      <c r="G463" s="4" t="s">
        <v>8</v>
      </c>
      <c r="H463" s="4">
        <v>63</v>
      </c>
      <c r="I463" s="4" t="str" cm="1">
        <f t="array" ref="I463">_xlfn.IFS(H463&lt;30, "Young Adult", H463&lt;50, "Adult", H463&gt;=50, "Senior")</f>
        <v>Senior</v>
      </c>
      <c r="J463" s="4" t="s">
        <v>4</v>
      </c>
      <c r="K463" s="4">
        <v>4</v>
      </c>
      <c r="L463" s="16">
        <v>300</v>
      </c>
      <c r="M463" s="16">
        <f xml:space="preserve"> K463 * L463</f>
        <v>1200</v>
      </c>
      <c r="N463" s="16">
        <f>M463 * $Q$3</f>
        <v>18</v>
      </c>
      <c r="O463" s="16">
        <f>M463 * $Q$4</f>
        <v>24</v>
      </c>
    </row>
    <row r="464" spans="1:15">
      <c r="A464" s="2">
        <v>463</v>
      </c>
      <c r="B464" s="4">
        <f>DAY(E464)</f>
        <v>31</v>
      </c>
      <c r="C464" s="4">
        <f>MONTH(E464)</f>
        <v>7</v>
      </c>
      <c r="D464" s="4">
        <f>YEAR(E464)</f>
        <v>2023</v>
      </c>
      <c r="E464" s="3">
        <v>45138</v>
      </c>
      <c r="F464" s="4" t="s">
        <v>494</v>
      </c>
      <c r="G464" s="4" t="s">
        <v>7</v>
      </c>
      <c r="H464" s="4">
        <v>54</v>
      </c>
      <c r="I464" s="4" t="str" cm="1">
        <f t="array" ref="I464">_xlfn.IFS(H464&lt;30, "Young Adult", H464&lt;50, "Adult", H464&gt;=50, "Senior")</f>
        <v>Senior</v>
      </c>
      <c r="J464" s="4" t="s">
        <v>2</v>
      </c>
      <c r="K464" s="4">
        <v>3</v>
      </c>
      <c r="L464" s="16">
        <v>500</v>
      </c>
      <c r="M464" s="16">
        <f xml:space="preserve"> K464 * L464</f>
        <v>1500</v>
      </c>
      <c r="N464" s="16">
        <f>M464 * $Q$3</f>
        <v>22.5</v>
      </c>
      <c r="O464" s="16">
        <f>M464 * $Q$4</f>
        <v>30</v>
      </c>
    </row>
    <row r="465" spans="1:15">
      <c r="A465" s="2">
        <v>464</v>
      </c>
      <c r="B465" s="4">
        <f>DAY(E465)</f>
        <v>13</v>
      </c>
      <c r="C465" s="4">
        <f>MONTH(E465)</f>
        <v>1</v>
      </c>
      <c r="D465" s="4">
        <f>YEAR(E465)</f>
        <v>2023</v>
      </c>
      <c r="E465" s="3">
        <v>44939</v>
      </c>
      <c r="F465" s="4" t="s">
        <v>495</v>
      </c>
      <c r="G465" s="4" t="s">
        <v>8</v>
      </c>
      <c r="H465" s="4">
        <v>38</v>
      </c>
      <c r="I465" s="4" t="str" cm="1">
        <f t="array" ref="I465">_xlfn.IFS(H465&lt;30, "Young Adult", H465&lt;50, "Adult", H465&gt;=50, "Senior")</f>
        <v>Adult</v>
      </c>
      <c r="J465" s="4" t="s">
        <v>4</v>
      </c>
      <c r="K465" s="4">
        <v>2</v>
      </c>
      <c r="L465" s="16">
        <v>300</v>
      </c>
      <c r="M465" s="16">
        <f xml:space="preserve"> K465 * L465</f>
        <v>600</v>
      </c>
      <c r="N465" s="16">
        <f>M465 * $Q$3</f>
        <v>9</v>
      </c>
      <c r="O465" s="16">
        <f>M465 * $Q$4</f>
        <v>12</v>
      </c>
    </row>
    <row r="466" spans="1:15">
      <c r="A466" s="2">
        <v>465</v>
      </c>
      <c r="B466" s="4">
        <f>DAY(E466)</f>
        <v>2</v>
      </c>
      <c r="C466" s="4">
        <f>MONTH(E466)</f>
        <v>4</v>
      </c>
      <c r="D466" s="4">
        <f>YEAR(E466)</f>
        <v>2023</v>
      </c>
      <c r="E466" s="3">
        <v>45018</v>
      </c>
      <c r="F466" s="4" t="s">
        <v>496</v>
      </c>
      <c r="G466" s="4" t="s">
        <v>7</v>
      </c>
      <c r="H466" s="4">
        <v>43</v>
      </c>
      <c r="I466" s="4" t="str" cm="1">
        <f t="array" ref="I466">_xlfn.IFS(H466&lt;30, "Young Adult", H466&lt;50, "Adult", H466&gt;=50, "Senior")</f>
        <v>Adult</v>
      </c>
      <c r="J466" s="4" t="s">
        <v>4</v>
      </c>
      <c r="K466" s="4">
        <v>3</v>
      </c>
      <c r="L466" s="16">
        <v>50</v>
      </c>
      <c r="M466" s="16">
        <f xml:space="preserve"> K466 * L466</f>
        <v>150</v>
      </c>
      <c r="N466" s="16">
        <f>M466 * $Q$3</f>
        <v>2.25</v>
      </c>
      <c r="O466" s="16">
        <f>M466 * $Q$4</f>
        <v>3</v>
      </c>
    </row>
    <row r="467" spans="1:15">
      <c r="A467" s="2">
        <v>466</v>
      </c>
      <c r="B467" s="4">
        <f>DAY(E467)</f>
        <v>20</v>
      </c>
      <c r="C467" s="4">
        <f>MONTH(E467)</f>
        <v>6</v>
      </c>
      <c r="D467" s="4">
        <f>YEAR(E467)</f>
        <v>2023</v>
      </c>
      <c r="E467" s="3">
        <v>45097</v>
      </c>
      <c r="F467" s="4" t="s">
        <v>497</v>
      </c>
      <c r="G467" s="4" t="s">
        <v>8</v>
      </c>
      <c r="H467" s="4">
        <v>63</v>
      </c>
      <c r="I467" s="4" t="str" cm="1">
        <f t="array" ref="I467">_xlfn.IFS(H467&lt;30, "Young Adult", H467&lt;50, "Adult", H467&gt;=50, "Senior")</f>
        <v>Senior</v>
      </c>
      <c r="J467" s="4" t="s">
        <v>4</v>
      </c>
      <c r="K467" s="4">
        <v>4</v>
      </c>
      <c r="L467" s="16">
        <v>25</v>
      </c>
      <c r="M467" s="16">
        <f xml:space="preserve"> K467 * L467</f>
        <v>100</v>
      </c>
      <c r="N467" s="16">
        <f>M467 * $Q$3</f>
        <v>1.5</v>
      </c>
      <c r="O467" s="16">
        <f>M467 * $Q$4</f>
        <v>2</v>
      </c>
    </row>
    <row r="468" spans="1:15">
      <c r="A468" s="2">
        <v>467</v>
      </c>
      <c r="B468" s="4">
        <f>DAY(E468)</f>
        <v>30</v>
      </c>
      <c r="C468" s="4">
        <f>MONTH(E468)</f>
        <v>7</v>
      </c>
      <c r="D468" s="4">
        <f>YEAR(E468)</f>
        <v>2023</v>
      </c>
      <c r="E468" s="3">
        <v>45137</v>
      </c>
      <c r="F468" s="4" t="s">
        <v>498</v>
      </c>
      <c r="G468" s="4" t="s">
        <v>7</v>
      </c>
      <c r="H468" s="4">
        <v>53</v>
      </c>
      <c r="I468" s="4" t="str" cm="1">
        <f t="array" ref="I468">_xlfn.IFS(H468&lt;30, "Young Adult", H468&lt;50, "Adult", H468&gt;=50, "Senior")</f>
        <v>Senior</v>
      </c>
      <c r="J468" s="4" t="s">
        <v>4</v>
      </c>
      <c r="K468" s="4">
        <v>3</v>
      </c>
      <c r="L468" s="16">
        <v>50</v>
      </c>
      <c r="M468" s="16">
        <f xml:space="preserve"> K468 * L468</f>
        <v>150</v>
      </c>
      <c r="N468" s="16">
        <f>M468 * $Q$3</f>
        <v>2.25</v>
      </c>
      <c r="O468" s="16">
        <f>M468 * $Q$4</f>
        <v>3</v>
      </c>
    </row>
    <row r="469" spans="1:15">
      <c r="A469" s="2">
        <v>468</v>
      </c>
      <c r="B469" s="4">
        <f>DAY(E469)</f>
        <v>9</v>
      </c>
      <c r="C469" s="4">
        <f>MONTH(E469)</f>
        <v>12</v>
      </c>
      <c r="D469" s="4">
        <f>YEAR(E469)</f>
        <v>2023</v>
      </c>
      <c r="E469" s="3">
        <v>45269</v>
      </c>
      <c r="F469" s="4" t="s">
        <v>499</v>
      </c>
      <c r="G469" s="4" t="s">
        <v>8</v>
      </c>
      <c r="H469" s="4">
        <v>40</v>
      </c>
      <c r="I469" s="4" t="str" cm="1">
        <f t="array" ref="I469">_xlfn.IFS(H469&lt;30, "Young Adult", H469&lt;50, "Adult", H469&gt;=50, "Senior")</f>
        <v>Adult</v>
      </c>
      <c r="J469" s="4" t="s">
        <v>4</v>
      </c>
      <c r="K469" s="4">
        <v>1</v>
      </c>
      <c r="L469" s="16">
        <v>25</v>
      </c>
      <c r="M469" s="16">
        <f xml:space="preserve"> K469 * L469</f>
        <v>25</v>
      </c>
      <c r="N469" s="16">
        <f>M469 * $Q$3</f>
        <v>0.375</v>
      </c>
      <c r="O469" s="16">
        <f>M469 * $Q$4</f>
        <v>0.5</v>
      </c>
    </row>
    <row r="470" spans="1:15">
      <c r="A470" s="2">
        <v>469</v>
      </c>
      <c r="B470" s="4">
        <f>DAY(E470)</f>
        <v>8</v>
      </c>
      <c r="C470" s="4">
        <f>MONTH(E470)</f>
        <v>5</v>
      </c>
      <c r="D470" s="4">
        <f>YEAR(E470)</f>
        <v>2023</v>
      </c>
      <c r="E470" s="3">
        <v>45054</v>
      </c>
      <c r="F470" s="4" t="s">
        <v>500</v>
      </c>
      <c r="G470" s="4" t="s">
        <v>8</v>
      </c>
      <c r="H470" s="4">
        <v>18</v>
      </c>
      <c r="I470" s="4" t="str" cm="1">
        <f t="array" ref="I470">_xlfn.IFS(H470&lt;30, "Young Adult", H470&lt;50, "Adult", H470&gt;=50, "Senior")</f>
        <v>Young Adult</v>
      </c>
      <c r="J470" s="4" t="s">
        <v>2</v>
      </c>
      <c r="K470" s="4">
        <v>3</v>
      </c>
      <c r="L470" s="16">
        <v>25</v>
      </c>
      <c r="M470" s="16">
        <f xml:space="preserve"> K470 * L470</f>
        <v>75</v>
      </c>
      <c r="N470" s="16">
        <f>M470 * $Q$3</f>
        <v>1.125</v>
      </c>
      <c r="O470" s="16">
        <f>M470 * $Q$4</f>
        <v>1.5</v>
      </c>
    </row>
    <row r="471" spans="1:15">
      <c r="A471" s="2">
        <v>470</v>
      </c>
      <c r="B471" s="4">
        <f>DAY(E471)</f>
        <v>17</v>
      </c>
      <c r="C471" s="4">
        <f>MONTH(E471)</f>
        <v>5</v>
      </c>
      <c r="D471" s="4">
        <f>YEAR(E471)</f>
        <v>2023</v>
      </c>
      <c r="E471" s="3">
        <v>45063</v>
      </c>
      <c r="F471" s="4" t="s">
        <v>501</v>
      </c>
      <c r="G471" s="4" t="s">
        <v>7</v>
      </c>
      <c r="H471" s="4">
        <v>57</v>
      </c>
      <c r="I471" s="4" t="str" cm="1">
        <f t="array" ref="I471">_xlfn.IFS(H471&lt;30, "Young Adult", H471&lt;50, "Adult", H471&gt;=50, "Senior")</f>
        <v>Senior</v>
      </c>
      <c r="J471" s="4" t="s">
        <v>3</v>
      </c>
      <c r="K471" s="4">
        <v>2</v>
      </c>
      <c r="L471" s="16">
        <v>500</v>
      </c>
      <c r="M471" s="16">
        <f xml:space="preserve"> K471 * L471</f>
        <v>1000</v>
      </c>
      <c r="N471" s="16">
        <f>M471 * $Q$3</f>
        <v>15</v>
      </c>
      <c r="O471" s="16">
        <f>M471 * $Q$4</f>
        <v>20</v>
      </c>
    </row>
    <row r="472" spans="1:15">
      <c r="A472" s="2">
        <v>471</v>
      </c>
      <c r="B472" s="4">
        <f>DAY(E472)</f>
        <v>23</v>
      </c>
      <c r="C472" s="4">
        <f>MONTH(E472)</f>
        <v>3</v>
      </c>
      <c r="D472" s="4">
        <f>YEAR(E472)</f>
        <v>2023</v>
      </c>
      <c r="E472" s="3">
        <v>45008</v>
      </c>
      <c r="F472" s="4" t="s">
        <v>502</v>
      </c>
      <c r="G472" s="4" t="s">
        <v>8</v>
      </c>
      <c r="H472" s="4">
        <v>32</v>
      </c>
      <c r="I472" s="4" t="str" cm="1">
        <f t="array" ref="I472">_xlfn.IFS(H472&lt;30, "Young Adult", H472&lt;50, "Adult", H472&gt;=50, "Senior")</f>
        <v>Adult</v>
      </c>
      <c r="J472" s="4" t="s">
        <v>3</v>
      </c>
      <c r="K472" s="4">
        <v>3</v>
      </c>
      <c r="L472" s="16">
        <v>50</v>
      </c>
      <c r="M472" s="16">
        <f xml:space="preserve"> K472 * L472</f>
        <v>150</v>
      </c>
      <c r="N472" s="16">
        <f>M472 * $Q$3</f>
        <v>2.25</v>
      </c>
      <c r="O472" s="16">
        <f>M472 * $Q$4</f>
        <v>3</v>
      </c>
    </row>
    <row r="473" spans="1:15">
      <c r="A473" s="2">
        <v>472</v>
      </c>
      <c r="B473" s="4">
        <f>DAY(E473)</f>
        <v>26</v>
      </c>
      <c r="C473" s="4">
        <f>MONTH(E473)</f>
        <v>12</v>
      </c>
      <c r="D473" s="4">
        <f>YEAR(E473)</f>
        <v>2023</v>
      </c>
      <c r="E473" s="3">
        <v>45286</v>
      </c>
      <c r="F473" s="4" t="s">
        <v>503</v>
      </c>
      <c r="G473" s="4" t="s">
        <v>7</v>
      </c>
      <c r="H473" s="4">
        <v>38</v>
      </c>
      <c r="I473" s="4" t="str" cm="1">
        <f t="array" ref="I473">_xlfn.IFS(H473&lt;30, "Young Adult", H473&lt;50, "Adult", H473&gt;=50, "Senior")</f>
        <v>Adult</v>
      </c>
      <c r="J473" s="4" t="s">
        <v>2</v>
      </c>
      <c r="K473" s="4">
        <v>3</v>
      </c>
      <c r="L473" s="16">
        <v>300</v>
      </c>
      <c r="M473" s="16">
        <f xml:space="preserve"> K473 * L473</f>
        <v>900</v>
      </c>
      <c r="N473" s="16">
        <f>M473 * $Q$3</f>
        <v>13.5</v>
      </c>
      <c r="O473" s="16">
        <f>M473 * $Q$4</f>
        <v>18</v>
      </c>
    </row>
    <row r="474" spans="1:15">
      <c r="A474" s="2">
        <v>473</v>
      </c>
      <c r="B474" s="4">
        <f>DAY(E474)</f>
        <v>25</v>
      </c>
      <c r="C474" s="4">
        <f>MONTH(E474)</f>
        <v>2</v>
      </c>
      <c r="D474" s="4">
        <f>YEAR(E474)</f>
        <v>2023</v>
      </c>
      <c r="E474" s="3">
        <v>44982</v>
      </c>
      <c r="F474" s="4" t="s">
        <v>504</v>
      </c>
      <c r="G474" s="4" t="s">
        <v>8</v>
      </c>
      <c r="H474" s="4">
        <v>64</v>
      </c>
      <c r="I474" s="4" t="str" cm="1">
        <f t="array" ref="I474">_xlfn.IFS(H474&lt;30, "Young Adult", H474&lt;50, "Adult", H474&gt;=50, "Senior")</f>
        <v>Senior</v>
      </c>
      <c r="J474" s="4" t="s">
        <v>2</v>
      </c>
      <c r="K474" s="4">
        <v>1</v>
      </c>
      <c r="L474" s="16">
        <v>50</v>
      </c>
      <c r="M474" s="16">
        <f xml:space="preserve"> K474 * L474</f>
        <v>50</v>
      </c>
      <c r="N474" s="16">
        <f>M474 * $Q$3</f>
        <v>0.75</v>
      </c>
      <c r="O474" s="16">
        <f>M474 * $Q$4</f>
        <v>1</v>
      </c>
    </row>
    <row r="475" spans="1:15">
      <c r="A475" s="2">
        <v>474</v>
      </c>
      <c r="B475" s="4">
        <f>DAY(E475)</f>
        <v>15</v>
      </c>
      <c r="C475" s="4">
        <f>MONTH(E475)</f>
        <v>7</v>
      </c>
      <c r="D475" s="4">
        <f>YEAR(E475)</f>
        <v>2023</v>
      </c>
      <c r="E475" s="3">
        <v>45122</v>
      </c>
      <c r="F475" s="4" t="s">
        <v>505</v>
      </c>
      <c r="G475" s="4" t="s">
        <v>7</v>
      </c>
      <c r="H475" s="4">
        <v>26</v>
      </c>
      <c r="I475" s="4" t="str" cm="1">
        <f t="array" ref="I475">_xlfn.IFS(H475&lt;30, "Young Adult", H475&lt;50, "Adult", H475&gt;=50, "Senior")</f>
        <v>Young Adult</v>
      </c>
      <c r="J475" s="4" t="s">
        <v>3</v>
      </c>
      <c r="K475" s="4">
        <v>3</v>
      </c>
      <c r="L475" s="16">
        <v>500</v>
      </c>
      <c r="M475" s="16">
        <f xml:space="preserve"> K475 * L475</f>
        <v>1500</v>
      </c>
      <c r="N475" s="16">
        <f>M475 * $Q$3</f>
        <v>22.5</v>
      </c>
      <c r="O475" s="16">
        <f>M475 * $Q$4</f>
        <v>30</v>
      </c>
    </row>
    <row r="476" spans="1:15">
      <c r="A476" s="2">
        <v>475</v>
      </c>
      <c r="B476" s="4">
        <f>DAY(E476)</f>
        <v>20</v>
      </c>
      <c r="C476" s="4">
        <f>MONTH(E476)</f>
        <v>1</v>
      </c>
      <c r="D476" s="4">
        <f>YEAR(E476)</f>
        <v>2023</v>
      </c>
      <c r="E476" s="3">
        <v>44946</v>
      </c>
      <c r="F476" s="4" t="s">
        <v>506</v>
      </c>
      <c r="G476" s="4" t="s">
        <v>8</v>
      </c>
      <c r="H476" s="4">
        <v>26</v>
      </c>
      <c r="I476" s="4" t="str" cm="1">
        <f t="array" ref="I476">_xlfn.IFS(H476&lt;30, "Young Adult", H476&lt;50, "Adult", H476&gt;=50, "Senior")</f>
        <v>Young Adult</v>
      </c>
      <c r="J476" s="4" t="s">
        <v>3</v>
      </c>
      <c r="K476" s="4">
        <v>3</v>
      </c>
      <c r="L476" s="16">
        <v>25</v>
      </c>
      <c r="M476" s="16">
        <f xml:space="preserve"> K476 * L476</f>
        <v>75</v>
      </c>
      <c r="N476" s="16">
        <f>M476 * $Q$3</f>
        <v>1.125</v>
      </c>
      <c r="O476" s="16">
        <f>M476 * $Q$4</f>
        <v>1.5</v>
      </c>
    </row>
    <row r="477" spans="1:15">
      <c r="A477" s="2">
        <v>476</v>
      </c>
      <c r="B477" s="4">
        <f>DAY(E477)</f>
        <v>29</v>
      </c>
      <c r="C477" s="4">
        <f>MONTH(E477)</f>
        <v>8</v>
      </c>
      <c r="D477" s="4">
        <f>YEAR(E477)</f>
        <v>2023</v>
      </c>
      <c r="E477" s="3">
        <v>45167</v>
      </c>
      <c r="F477" s="4" t="s">
        <v>507</v>
      </c>
      <c r="G477" s="4" t="s">
        <v>7</v>
      </c>
      <c r="H477" s="4">
        <v>27</v>
      </c>
      <c r="I477" s="4" t="str" cm="1">
        <f t="array" ref="I477">_xlfn.IFS(H477&lt;30, "Young Adult", H477&lt;50, "Adult", H477&gt;=50, "Senior")</f>
        <v>Young Adult</v>
      </c>
      <c r="J477" s="4" t="s">
        <v>3</v>
      </c>
      <c r="K477" s="4">
        <v>4</v>
      </c>
      <c r="L477" s="16">
        <v>500</v>
      </c>
      <c r="M477" s="16">
        <f xml:space="preserve"> K477 * L477</f>
        <v>2000</v>
      </c>
      <c r="N477" s="16">
        <f>M477 * $Q$3</f>
        <v>30</v>
      </c>
      <c r="O477" s="16">
        <f>M477 * $Q$4</f>
        <v>40</v>
      </c>
    </row>
    <row r="478" spans="1:15">
      <c r="A478" s="2">
        <v>477</v>
      </c>
      <c r="B478" s="4">
        <f>DAY(E478)</f>
        <v>24</v>
      </c>
      <c r="C478" s="4">
        <f>MONTH(E478)</f>
        <v>4</v>
      </c>
      <c r="D478" s="4">
        <f>YEAR(E478)</f>
        <v>2023</v>
      </c>
      <c r="E478" s="3">
        <v>45040</v>
      </c>
      <c r="F478" s="4" t="s">
        <v>508</v>
      </c>
      <c r="G478" s="4" t="s">
        <v>8</v>
      </c>
      <c r="H478" s="4">
        <v>43</v>
      </c>
      <c r="I478" s="4" t="str" cm="1">
        <f t="array" ref="I478">_xlfn.IFS(H478&lt;30, "Young Adult", H478&lt;50, "Adult", H478&gt;=50, "Senior")</f>
        <v>Adult</v>
      </c>
      <c r="J478" s="4" t="s">
        <v>3</v>
      </c>
      <c r="K478" s="4">
        <v>4</v>
      </c>
      <c r="L478" s="16">
        <v>30</v>
      </c>
      <c r="M478" s="16">
        <f xml:space="preserve"> K478 * L478</f>
        <v>120</v>
      </c>
      <c r="N478" s="16">
        <f>M478 * $Q$3</f>
        <v>1.7999999999999998</v>
      </c>
      <c r="O478" s="16">
        <f>M478 * $Q$4</f>
        <v>2.4</v>
      </c>
    </row>
    <row r="479" spans="1:15">
      <c r="A479" s="2">
        <v>478</v>
      </c>
      <c r="B479" s="4">
        <f>DAY(E479)</f>
        <v>13</v>
      </c>
      <c r="C479" s="4">
        <f>MONTH(E479)</f>
        <v>4</v>
      </c>
      <c r="D479" s="4">
        <f>YEAR(E479)</f>
        <v>2023</v>
      </c>
      <c r="E479" s="3">
        <v>45029</v>
      </c>
      <c r="F479" s="4" t="s">
        <v>509</v>
      </c>
      <c r="G479" s="4" t="s">
        <v>7</v>
      </c>
      <c r="H479" s="4">
        <v>58</v>
      </c>
      <c r="I479" s="4" t="str" cm="1">
        <f t="array" ref="I479">_xlfn.IFS(H479&lt;30, "Young Adult", H479&lt;50, "Adult", H479&gt;=50, "Senior")</f>
        <v>Senior</v>
      </c>
      <c r="J479" s="4" t="s">
        <v>3</v>
      </c>
      <c r="K479" s="4">
        <v>2</v>
      </c>
      <c r="L479" s="16">
        <v>30</v>
      </c>
      <c r="M479" s="16">
        <f xml:space="preserve"> K479 * L479</f>
        <v>60</v>
      </c>
      <c r="N479" s="16">
        <f>M479 * $Q$3</f>
        <v>0.89999999999999991</v>
      </c>
      <c r="O479" s="16">
        <f>M479 * $Q$4</f>
        <v>1.2</v>
      </c>
    </row>
    <row r="480" spans="1:15">
      <c r="A480" s="2">
        <v>479</v>
      </c>
      <c r="B480" s="4">
        <f>DAY(E480)</f>
        <v>24</v>
      </c>
      <c r="C480" s="4">
        <f>MONTH(E480)</f>
        <v>8</v>
      </c>
      <c r="D480" s="4">
        <f>YEAR(E480)</f>
        <v>2023</v>
      </c>
      <c r="E480" s="3">
        <v>45162</v>
      </c>
      <c r="F480" s="4" t="s">
        <v>510</v>
      </c>
      <c r="G480" s="4" t="s">
        <v>8</v>
      </c>
      <c r="H480" s="4">
        <v>52</v>
      </c>
      <c r="I480" s="4" t="str" cm="1">
        <f t="array" ref="I480">_xlfn.IFS(H480&lt;30, "Young Adult", H480&lt;50, "Adult", H480&gt;=50, "Senior")</f>
        <v>Senior</v>
      </c>
      <c r="J480" s="4" t="s">
        <v>4</v>
      </c>
      <c r="K480" s="4">
        <v>4</v>
      </c>
      <c r="L480" s="16">
        <v>300</v>
      </c>
      <c r="M480" s="16">
        <f xml:space="preserve"> K480 * L480</f>
        <v>1200</v>
      </c>
      <c r="N480" s="16">
        <f>M480 * $Q$3</f>
        <v>18</v>
      </c>
      <c r="O480" s="16">
        <f>M480 * $Q$4</f>
        <v>24</v>
      </c>
    </row>
    <row r="481" spans="1:15">
      <c r="A481" s="2">
        <v>480</v>
      </c>
      <c r="B481" s="4">
        <f>DAY(E481)</f>
        <v>29</v>
      </c>
      <c r="C481" s="4">
        <f>MONTH(E481)</f>
        <v>6</v>
      </c>
      <c r="D481" s="4">
        <f>YEAR(E481)</f>
        <v>2023</v>
      </c>
      <c r="E481" s="3">
        <v>45106</v>
      </c>
      <c r="F481" s="4" t="s">
        <v>511</v>
      </c>
      <c r="G481" s="4" t="s">
        <v>7</v>
      </c>
      <c r="H481" s="4">
        <v>42</v>
      </c>
      <c r="I481" s="4" t="str" cm="1">
        <f t="array" ref="I481">_xlfn.IFS(H481&lt;30, "Young Adult", H481&lt;50, "Adult", H481&gt;=50, "Senior")</f>
        <v>Adult</v>
      </c>
      <c r="J481" s="4" t="s">
        <v>2</v>
      </c>
      <c r="K481" s="4">
        <v>4</v>
      </c>
      <c r="L481" s="16">
        <v>500</v>
      </c>
      <c r="M481" s="16">
        <f xml:space="preserve"> K481 * L481</f>
        <v>2000</v>
      </c>
      <c r="N481" s="16">
        <f>M481 * $Q$3</f>
        <v>30</v>
      </c>
      <c r="O481" s="16">
        <f>M481 * $Q$4</f>
        <v>40</v>
      </c>
    </row>
    <row r="482" spans="1:15">
      <c r="A482" s="2">
        <v>481</v>
      </c>
      <c r="B482" s="4">
        <f>DAY(E482)</f>
        <v>6</v>
      </c>
      <c r="C482" s="4">
        <f>MONTH(E482)</f>
        <v>6</v>
      </c>
      <c r="D482" s="4">
        <f>YEAR(E482)</f>
        <v>2023</v>
      </c>
      <c r="E482" s="3">
        <v>45083</v>
      </c>
      <c r="F482" s="4" t="s">
        <v>512</v>
      </c>
      <c r="G482" s="4" t="s">
        <v>7</v>
      </c>
      <c r="H482" s="4">
        <v>43</v>
      </c>
      <c r="I482" s="4" t="str" cm="1">
        <f t="array" ref="I482">_xlfn.IFS(H482&lt;30, "Young Adult", H482&lt;50, "Adult", H482&gt;=50, "Senior")</f>
        <v>Adult</v>
      </c>
      <c r="J482" s="4" t="s">
        <v>4</v>
      </c>
      <c r="K482" s="4">
        <v>4</v>
      </c>
      <c r="L482" s="16">
        <v>300</v>
      </c>
      <c r="M482" s="16">
        <f xml:space="preserve"> K482 * L482</f>
        <v>1200</v>
      </c>
      <c r="N482" s="16">
        <f>M482 * $Q$3</f>
        <v>18</v>
      </c>
      <c r="O482" s="16">
        <f>M482 * $Q$4</f>
        <v>24</v>
      </c>
    </row>
    <row r="483" spans="1:15">
      <c r="A483" s="2">
        <v>482</v>
      </c>
      <c r="B483" s="4">
        <f>DAY(E483)</f>
        <v>27</v>
      </c>
      <c r="C483" s="4">
        <f>MONTH(E483)</f>
        <v>4</v>
      </c>
      <c r="D483" s="4">
        <f>YEAR(E483)</f>
        <v>2023</v>
      </c>
      <c r="E483" s="3">
        <v>45043</v>
      </c>
      <c r="F483" s="4" t="s">
        <v>513</v>
      </c>
      <c r="G483" s="4" t="s">
        <v>7</v>
      </c>
      <c r="H483" s="4">
        <v>28</v>
      </c>
      <c r="I483" s="4" t="str" cm="1">
        <f t="array" ref="I483">_xlfn.IFS(H483&lt;30, "Young Adult", H483&lt;50, "Adult", H483&gt;=50, "Senior")</f>
        <v>Young Adult</v>
      </c>
      <c r="J483" s="4" t="s">
        <v>3</v>
      </c>
      <c r="K483" s="4">
        <v>4</v>
      </c>
      <c r="L483" s="16">
        <v>300</v>
      </c>
      <c r="M483" s="16">
        <f xml:space="preserve"> K483 * L483</f>
        <v>1200</v>
      </c>
      <c r="N483" s="16">
        <f>M483 * $Q$3</f>
        <v>18</v>
      </c>
      <c r="O483" s="16">
        <f>M483 * $Q$4</f>
        <v>24</v>
      </c>
    </row>
    <row r="484" spans="1:15">
      <c r="A484" s="2">
        <v>483</v>
      </c>
      <c r="B484" s="4">
        <f>DAY(E484)</f>
        <v>25</v>
      </c>
      <c r="C484" s="4">
        <f>MONTH(E484)</f>
        <v>4</v>
      </c>
      <c r="D484" s="4">
        <f>YEAR(E484)</f>
        <v>2023</v>
      </c>
      <c r="E484" s="3">
        <v>45041</v>
      </c>
      <c r="F484" s="4" t="s">
        <v>514</v>
      </c>
      <c r="G484" s="4" t="s">
        <v>8</v>
      </c>
      <c r="H484" s="4">
        <v>55</v>
      </c>
      <c r="I484" s="4" t="str" cm="1">
        <f t="array" ref="I484">_xlfn.IFS(H484&lt;30, "Young Adult", H484&lt;50, "Adult", H484&gt;=50, "Senior")</f>
        <v>Senior</v>
      </c>
      <c r="J484" s="4" t="s">
        <v>3</v>
      </c>
      <c r="K484" s="4">
        <v>1</v>
      </c>
      <c r="L484" s="16">
        <v>30</v>
      </c>
      <c r="M484" s="16">
        <f xml:space="preserve"> K484 * L484</f>
        <v>30</v>
      </c>
      <c r="N484" s="16">
        <f>M484 * $Q$3</f>
        <v>0.44999999999999996</v>
      </c>
      <c r="O484" s="16">
        <f>M484 * $Q$4</f>
        <v>0.6</v>
      </c>
    </row>
    <row r="485" spans="1:15">
      <c r="A485" s="2">
        <v>484</v>
      </c>
      <c r="B485" s="4">
        <f>DAY(E485)</f>
        <v>13</v>
      </c>
      <c r="C485" s="4">
        <f>MONTH(E485)</f>
        <v>1</v>
      </c>
      <c r="D485" s="4">
        <f>YEAR(E485)</f>
        <v>2023</v>
      </c>
      <c r="E485" s="3">
        <v>44939</v>
      </c>
      <c r="F485" s="4" t="s">
        <v>515</v>
      </c>
      <c r="G485" s="4" t="s">
        <v>7</v>
      </c>
      <c r="H485" s="4">
        <v>19</v>
      </c>
      <c r="I485" s="4" t="str" cm="1">
        <f t="array" ref="I485">_xlfn.IFS(H485&lt;30, "Young Adult", H485&lt;50, "Adult", H485&gt;=50, "Senior")</f>
        <v>Young Adult</v>
      </c>
      <c r="J485" s="4" t="s">
        <v>3</v>
      </c>
      <c r="K485" s="4">
        <v>4</v>
      </c>
      <c r="L485" s="16">
        <v>300</v>
      </c>
      <c r="M485" s="16">
        <f xml:space="preserve"> K485 * L485</f>
        <v>1200</v>
      </c>
      <c r="N485" s="16">
        <f>M485 * $Q$3</f>
        <v>18</v>
      </c>
      <c r="O485" s="16">
        <f>M485 * $Q$4</f>
        <v>24</v>
      </c>
    </row>
    <row r="486" spans="1:15">
      <c r="A486" s="2">
        <v>485</v>
      </c>
      <c r="B486" s="4">
        <f>DAY(E486)</f>
        <v>4</v>
      </c>
      <c r="C486" s="4">
        <f>MONTH(E486)</f>
        <v>12</v>
      </c>
      <c r="D486" s="4">
        <f>YEAR(E486)</f>
        <v>2023</v>
      </c>
      <c r="E486" s="3">
        <v>45264</v>
      </c>
      <c r="F486" s="4" t="s">
        <v>516</v>
      </c>
      <c r="G486" s="4" t="s">
        <v>8</v>
      </c>
      <c r="H486" s="4">
        <v>24</v>
      </c>
      <c r="I486" s="4" t="str" cm="1">
        <f t="array" ref="I486">_xlfn.IFS(H486&lt;30, "Young Adult", H486&lt;50, "Adult", H486&gt;=50, "Senior")</f>
        <v>Young Adult</v>
      </c>
      <c r="J486" s="4" t="s">
        <v>4</v>
      </c>
      <c r="K486" s="4">
        <v>1</v>
      </c>
      <c r="L486" s="16">
        <v>30</v>
      </c>
      <c r="M486" s="16">
        <f xml:space="preserve"> K486 * L486</f>
        <v>30</v>
      </c>
      <c r="N486" s="16">
        <f>M486 * $Q$3</f>
        <v>0.44999999999999996</v>
      </c>
      <c r="O486" s="16">
        <f>M486 * $Q$4</f>
        <v>0.6</v>
      </c>
    </row>
    <row r="487" spans="1:15">
      <c r="A487" s="2">
        <v>486</v>
      </c>
      <c r="B487" s="4">
        <f>DAY(E487)</f>
        <v>9</v>
      </c>
      <c r="C487" s="4">
        <f>MONTH(E487)</f>
        <v>4</v>
      </c>
      <c r="D487" s="4">
        <f>YEAR(E487)</f>
        <v>2023</v>
      </c>
      <c r="E487" s="3">
        <v>45025</v>
      </c>
      <c r="F487" s="4" t="s">
        <v>517</v>
      </c>
      <c r="G487" s="4" t="s">
        <v>7</v>
      </c>
      <c r="H487" s="4">
        <v>35</v>
      </c>
      <c r="I487" s="4" t="str" cm="1">
        <f t="array" ref="I487">_xlfn.IFS(H487&lt;30, "Young Adult", H487&lt;50, "Adult", H487&gt;=50, "Senior")</f>
        <v>Adult</v>
      </c>
      <c r="J487" s="4" t="s">
        <v>4</v>
      </c>
      <c r="K487" s="4">
        <v>1</v>
      </c>
      <c r="L487" s="16">
        <v>25</v>
      </c>
      <c r="M487" s="16">
        <f xml:space="preserve"> K487 * L487</f>
        <v>25</v>
      </c>
      <c r="N487" s="16">
        <f>M487 * $Q$3</f>
        <v>0.375</v>
      </c>
      <c r="O487" s="16">
        <f>M487 * $Q$4</f>
        <v>0.5</v>
      </c>
    </row>
    <row r="488" spans="1:15">
      <c r="A488" s="2">
        <v>487</v>
      </c>
      <c r="B488" s="4">
        <f>DAY(E488)</f>
        <v>24</v>
      </c>
      <c r="C488" s="4">
        <f>MONTH(E488)</f>
        <v>7</v>
      </c>
      <c r="D488" s="4">
        <f>YEAR(E488)</f>
        <v>2023</v>
      </c>
      <c r="E488" s="3">
        <v>45131</v>
      </c>
      <c r="F488" s="4" t="s">
        <v>518</v>
      </c>
      <c r="G488" s="4" t="s">
        <v>8</v>
      </c>
      <c r="H488" s="4">
        <v>44</v>
      </c>
      <c r="I488" s="4" t="str" cm="1">
        <f t="array" ref="I488">_xlfn.IFS(H488&lt;30, "Young Adult", H488&lt;50, "Adult", H488&gt;=50, "Senior")</f>
        <v>Adult</v>
      </c>
      <c r="J488" s="4" t="s">
        <v>3</v>
      </c>
      <c r="K488" s="4">
        <v>4</v>
      </c>
      <c r="L488" s="16">
        <v>500</v>
      </c>
      <c r="M488" s="16">
        <f xml:space="preserve"> K488 * L488</f>
        <v>2000</v>
      </c>
      <c r="N488" s="16">
        <f>M488 * $Q$3</f>
        <v>30</v>
      </c>
      <c r="O488" s="16">
        <f>M488 * $Q$4</f>
        <v>40</v>
      </c>
    </row>
    <row r="489" spans="1:15">
      <c r="A489" s="2">
        <v>488</v>
      </c>
      <c r="B489" s="4">
        <f>DAY(E489)</f>
        <v>18</v>
      </c>
      <c r="C489" s="4">
        <f>MONTH(E489)</f>
        <v>6</v>
      </c>
      <c r="D489" s="4">
        <f>YEAR(E489)</f>
        <v>2023</v>
      </c>
      <c r="E489" s="3">
        <v>45095</v>
      </c>
      <c r="F489" s="4" t="s">
        <v>519</v>
      </c>
      <c r="G489" s="4" t="s">
        <v>7</v>
      </c>
      <c r="H489" s="4">
        <v>51</v>
      </c>
      <c r="I489" s="4" t="str" cm="1">
        <f t="array" ref="I489">_xlfn.IFS(H489&lt;30, "Young Adult", H489&lt;50, "Adult", H489&gt;=50, "Senior")</f>
        <v>Senior</v>
      </c>
      <c r="J489" s="4" t="s">
        <v>4</v>
      </c>
      <c r="K489" s="4">
        <v>3</v>
      </c>
      <c r="L489" s="16">
        <v>300</v>
      </c>
      <c r="M489" s="16">
        <f xml:space="preserve"> K489 * L489</f>
        <v>900</v>
      </c>
      <c r="N489" s="16">
        <f>M489 * $Q$3</f>
        <v>13.5</v>
      </c>
      <c r="O489" s="16">
        <f>M489 * $Q$4</f>
        <v>18</v>
      </c>
    </row>
    <row r="490" spans="1:15">
      <c r="A490" s="2">
        <v>489</v>
      </c>
      <c r="B490" s="4">
        <f>DAY(E490)</f>
        <v>23</v>
      </c>
      <c r="C490" s="4">
        <f>MONTH(E490)</f>
        <v>5</v>
      </c>
      <c r="D490" s="4">
        <f>YEAR(E490)</f>
        <v>2023</v>
      </c>
      <c r="E490" s="3">
        <v>45069</v>
      </c>
      <c r="F490" s="4" t="s">
        <v>520</v>
      </c>
      <c r="G490" s="4" t="s">
        <v>8</v>
      </c>
      <c r="H490" s="4">
        <v>44</v>
      </c>
      <c r="I490" s="4" t="str" cm="1">
        <f t="array" ref="I490">_xlfn.IFS(H490&lt;30, "Young Adult", H490&lt;50, "Adult", H490&gt;=50, "Senior")</f>
        <v>Adult</v>
      </c>
      <c r="J490" s="4" t="s">
        <v>4</v>
      </c>
      <c r="K490" s="4">
        <v>1</v>
      </c>
      <c r="L490" s="16">
        <v>30</v>
      </c>
      <c r="M490" s="16">
        <f xml:space="preserve"> K490 * L490</f>
        <v>30</v>
      </c>
      <c r="N490" s="16">
        <f>M490 * $Q$3</f>
        <v>0.44999999999999996</v>
      </c>
      <c r="O490" s="16">
        <f>M490 * $Q$4</f>
        <v>0.6</v>
      </c>
    </row>
    <row r="491" spans="1:15">
      <c r="A491" s="2">
        <v>490</v>
      </c>
      <c r="B491" s="4">
        <f>DAY(E491)</f>
        <v>5</v>
      </c>
      <c r="C491" s="4">
        <f>MONTH(E491)</f>
        <v>2</v>
      </c>
      <c r="D491" s="4">
        <f>YEAR(E491)</f>
        <v>2023</v>
      </c>
      <c r="E491" s="3">
        <v>44962</v>
      </c>
      <c r="F491" s="4" t="s">
        <v>521</v>
      </c>
      <c r="G491" s="4" t="s">
        <v>8</v>
      </c>
      <c r="H491" s="4">
        <v>34</v>
      </c>
      <c r="I491" s="4" t="str" cm="1">
        <f t="array" ref="I491">_xlfn.IFS(H491&lt;30, "Young Adult", H491&lt;50, "Adult", H491&gt;=50, "Senior")</f>
        <v>Adult</v>
      </c>
      <c r="J491" s="4" t="s">
        <v>3</v>
      </c>
      <c r="K491" s="4">
        <v>3</v>
      </c>
      <c r="L491" s="16">
        <v>50</v>
      </c>
      <c r="M491" s="16">
        <f xml:space="preserve"> K491 * L491</f>
        <v>150</v>
      </c>
      <c r="N491" s="16">
        <f>M491 * $Q$3</f>
        <v>2.25</v>
      </c>
      <c r="O491" s="16">
        <f>M491 * $Q$4</f>
        <v>3</v>
      </c>
    </row>
    <row r="492" spans="1:15">
      <c r="A492" s="2">
        <v>491</v>
      </c>
      <c r="B492" s="4">
        <f>DAY(E492)</f>
        <v>23</v>
      </c>
      <c r="C492" s="4">
        <f>MONTH(E492)</f>
        <v>5</v>
      </c>
      <c r="D492" s="4">
        <f>YEAR(E492)</f>
        <v>2023</v>
      </c>
      <c r="E492" s="3">
        <v>45069</v>
      </c>
      <c r="F492" s="4" t="s">
        <v>522</v>
      </c>
      <c r="G492" s="4" t="s">
        <v>7</v>
      </c>
      <c r="H492" s="4">
        <v>60</v>
      </c>
      <c r="I492" s="4" t="str" cm="1">
        <f t="array" ref="I492">_xlfn.IFS(H492&lt;30, "Young Adult", H492&lt;50, "Adult", H492&gt;=50, "Senior")</f>
        <v>Senior</v>
      </c>
      <c r="J492" s="4" t="s">
        <v>4</v>
      </c>
      <c r="K492" s="4">
        <v>3</v>
      </c>
      <c r="L492" s="16">
        <v>300</v>
      </c>
      <c r="M492" s="16">
        <f xml:space="preserve"> K492 * L492</f>
        <v>900</v>
      </c>
      <c r="N492" s="16">
        <f>M492 * $Q$3</f>
        <v>13.5</v>
      </c>
      <c r="O492" s="16">
        <f>M492 * $Q$4</f>
        <v>18</v>
      </c>
    </row>
    <row r="493" spans="1:15">
      <c r="A493" s="2">
        <v>492</v>
      </c>
      <c r="B493" s="4">
        <f>DAY(E493)</f>
        <v>29</v>
      </c>
      <c r="C493" s="4">
        <f>MONTH(E493)</f>
        <v>6</v>
      </c>
      <c r="D493" s="4">
        <f>YEAR(E493)</f>
        <v>2023</v>
      </c>
      <c r="E493" s="3">
        <v>45106</v>
      </c>
      <c r="F493" s="4" t="s">
        <v>523</v>
      </c>
      <c r="G493" s="4" t="s">
        <v>8</v>
      </c>
      <c r="H493" s="4">
        <v>61</v>
      </c>
      <c r="I493" s="4" t="str" cm="1">
        <f t="array" ref="I493">_xlfn.IFS(H493&lt;30, "Young Adult", H493&lt;50, "Adult", H493&gt;=50, "Senior")</f>
        <v>Senior</v>
      </c>
      <c r="J493" s="4" t="s">
        <v>2</v>
      </c>
      <c r="K493" s="4">
        <v>4</v>
      </c>
      <c r="L493" s="16">
        <v>25</v>
      </c>
      <c r="M493" s="16">
        <f xml:space="preserve"> K493 * L493</f>
        <v>100</v>
      </c>
      <c r="N493" s="16">
        <f>M493 * $Q$3</f>
        <v>1.5</v>
      </c>
      <c r="O493" s="16">
        <f>M493 * $Q$4</f>
        <v>2</v>
      </c>
    </row>
    <row r="494" spans="1:15">
      <c r="A494" s="2">
        <v>493</v>
      </c>
      <c r="B494" s="4">
        <f>DAY(E494)</f>
        <v>25</v>
      </c>
      <c r="C494" s="4">
        <f>MONTH(E494)</f>
        <v>11</v>
      </c>
      <c r="D494" s="4">
        <f>YEAR(E494)</f>
        <v>2023</v>
      </c>
      <c r="E494" s="3">
        <v>45255</v>
      </c>
      <c r="F494" s="4" t="s">
        <v>524</v>
      </c>
      <c r="G494" s="4" t="s">
        <v>8</v>
      </c>
      <c r="H494" s="4">
        <v>41</v>
      </c>
      <c r="I494" s="4" t="str" cm="1">
        <f t="array" ref="I494">_xlfn.IFS(H494&lt;30, "Young Adult", H494&lt;50, "Adult", H494&gt;=50, "Senior")</f>
        <v>Adult</v>
      </c>
      <c r="J494" s="4" t="s">
        <v>2</v>
      </c>
      <c r="K494" s="4">
        <v>2</v>
      </c>
      <c r="L494" s="16">
        <v>25</v>
      </c>
      <c r="M494" s="16">
        <f xml:space="preserve"> K494 * L494</f>
        <v>50</v>
      </c>
      <c r="N494" s="16">
        <f>M494 * $Q$3</f>
        <v>0.75</v>
      </c>
      <c r="O494" s="16">
        <f>M494 * $Q$4</f>
        <v>1</v>
      </c>
    </row>
    <row r="495" spans="1:15">
      <c r="A495" s="2">
        <v>494</v>
      </c>
      <c r="B495" s="4">
        <f>DAY(E495)</f>
        <v>18</v>
      </c>
      <c r="C495" s="4">
        <f>MONTH(E495)</f>
        <v>9</v>
      </c>
      <c r="D495" s="4">
        <f>YEAR(E495)</f>
        <v>2023</v>
      </c>
      <c r="E495" s="3">
        <v>45187</v>
      </c>
      <c r="F495" s="4" t="s">
        <v>525</v>
      </c>
      <c r="G495" s="4" t="s">
        <v>7</v>
      </c>
      <c r="H495" s="4">
        <v>42</v>
      </c>
      <c r="I495" s="4" t="str" cm="1">
        <f t="array" ref="I495">_xlfn.IFS(H495&lt;30, "Young Adult", H495&lt;50, "Adult", H495&gt;=50, "Senior")</f>
        <v>Adult</v>
      </c>
      <c r="J495" s="4" t="s">
        <v>2</v>
      </c>
      <c r="K495" s="4">
        <v>4</v>
      </c>
      <c r="L495" s="16">
        <v>50</v>
      </c>
      <c r="M495" s="16">
        <f xml:space="preserve"> K495 * L495</f>
        <v>200</v>
      </c>
      <c r="N495" s="16">
        <f>M495 * $Q$3</f>
        <v>3</v>
      </c>
      <c r="O495" s="16">
        <f>M495 * $Q$4</f>
        <v>4</v>
      </c>
    </row>
    <row r="496" spans="1:15">
      <c r="A496" s="2">
        <v>495</v>
      </c>
      <c r="B496" s="4">
        <f>DAY(E496)</f>
        <v>24</v>
      </c>
      <c r="C496" s="4">
        <f>MONTH(E496)</f>
        <v>7</v>
      </c>
      <c r="D496" s="4">
        <f>YEAR(E496)</f>
        <v>2023</v>
      </c>
      <c r="E496" s="3">
        <v>45131</v>
      </c>
      <c r="F496" s="4" t="s">
        <v>526</v>
      </c>
      <c r="G496" s="4" t="s">
        <v>8</v>
      </c>
      <c r="H496" s="4">
        <v>24</v>
      </c>
      <c r="I496" s="4" t="str" cm="1">
        <f t="array" ref="I496">_xlfn.IFS(H496&lt;30, "Young Adult", H496&lt;50, "Adult", H496&gt;=50, "Senior")</f>
        <v>Young Adult</v>
      </c>
      <c r="J496" s="4" t="s">
        <v>2</v>
      </c>
      <c r="K496" s="4">
        <v>2</v>
      </c>
      <c r="L496" s="16">
        <v>30</v>
      </c>
      <c r="M496" s="16">
        <f xml:space="preserve"> K496 * L496</f>
        <v>60</v>
      </c>
      <c r="N496" s="16">
        <f>M496 * $Q$3</f>
        <v>0.89999999999999991</v>
      </c>
      <c r="O496" s="16">
        <f>M496 * $Q$4</f>
        <v>1.2</v>
      </c>
    </row>
    <row r="497" spans="1:15">
      <c r="A497" s="2">
        <v>496</v>
      </c>
      <c r="B497" s="4">
        <f>DAY(E497)</f>
        <v>14</v>
      </c>
      <c r="C497" s="4">
        <f>MONTH(E497)</f>
        <v>12</v>
      </c>
      <c r="D497" s="4">
        <f>YEAR(E497)</f>
        <v>2023</v>
      </c>
      <c r="E497" s="3">
        <v>45274</v>
      </c>
      <c r="F497" s="4" t="s">
        <v>527</v>
      </c>
      <c r="G497" s="4" t="s">
        <v>8</v>
      </c>
      <c r="H497" s="4">
        <v>23</v>
      </c>
      <c r="I497" s="4" t="str" cm="1">
        <f t="array" ref="I497">_xlfn.IFS(H497&lt;30, "Young Adult", H497&lt;50, "Adult", H497&gt;=50, "Senior")</f>
        <v>Young Adult</v>
      </c>
      <c r="J497" s="4" t="s">
        <v>3</v>
      </c>
      <c r="K497" s="4">
        <v>2</v>
      </c>
      <c r="L497" s="16">
        <v>300</v>
      </c>
      <c r="M497" s="16">
        <f xml:space="preserve"> K497 * L497</f>
        <v>600</v>
      </c>
      <c r="N497" s="16">
        <f>M497 * $Q$3</f>
        <v>9</v>
      </c>
      <c r="O497" s="16">
        <f>M497 * $Q$4</f>
        <v>12</v>
      </c>
    </row>
    <row r="498" spans="1:15">
      <c r="A498" s="2">
        <v>497</v>
      </c>
      <c r="B498" s="4">
        <f>DAY(E498)</f>
        <v>2</v>
      </c>
      <c r="C498" s="4">
        <f>MONTH(E498)</f>
        <v>10</v>
      </c>
      <c r="D498" s="4">
        <f>YEAR(E498)</f>
        <v>2023</v>
      </c>
      <c r="E498" s="3">
        <v>45201</v>
      </c>
      <c r="F498" s="4" t="s">
        <v>528</v>
      </c>
      <c r="G498" s="4" t="s">
        <v>8</v>
      </c>
      <c r="H498" s="4">
        <v>41</v>
      </c>
      <c r="I498" s="4" t="str" cm="1">
        <f t="array" ref="I498">_xlfn.IFS(H498&lt;30, "Young Adult", H498&lt;50, "Adult", H498&gt;=50, "Senior")</f>
        <v>Adult</v>
      </c>
      <c r="J498" s="4" t="s">
        <v>3</v>
      </c>
      <c r="K498" s="4">
        <v>4</v>
      </c>
      <c r="L498" s="16">
        <v>30</v>
      </c>
      <c r="M498" s="16">
        <f xml:space="preserve"> K498 * L498</f>
        <v>120</v>
      </c>
      <c r="N498" s="16">
        <f>M498 * $Q$3</f>
        <v>1.7999999999999998</v>
      </c>
      <c r="O498" s="16">
        <f>M498 * $Q$4</f>
        <v>2.4</v>
      </c>
    </row>
    <row r="499" spans="1:15">
      <c r="A499" s="2">
        <v>498</v>
      </c>
      <c r="B499" s="4">
        <f>DAY(E499)</f>
        <v>19</v>
      </c>
      <c r="C499" s="4">
        <f>MONTH(E499)</f>
        <v>6</v>
      </c>
      <c r="D499" s="4">
        <f>YEAR(E499)</f>
        <v>2023</v>
      </c>
      <c r="E499" s="3">
        <v>45096</v>
      </c>
      <c r="F499" s="4" t="s">
        <v>529</v>
      </c>
      <c r="G499" s="4" t="s">
        <v>7</v>
      </c>
      <c r="H499" s="4">
        <v>50</v>
      </c>
      <c r="I499" s="4" t="str" cm="1">
        <f t="array" ref="I499">_xlfn.IFS(H499&lt;30, "Young Adult", H499&lt;50, "Adult", H499&gt;=50, "Senior")</f>
        <v>Senior</v>
      </c>
      <c r="J499" s="4" t="s">
        <v>3</v>
      </c>
      <c r="K499" s="4">
        <v>4</v>
      </c>
      <c r="L499" s="16">
        <v>25</v>
      </c>
      <c r="M499" s="16">
        <f xml:space="preserve"> K499 * L499</f>
        <v>100</v>
      </c>
      <c r="N499" s="16">
        <f>M499 * $Q$3</f>
        <v>1.5</v>
      </c>
      <c r="O499" s="16">
        <f>M499 * $Q$4</f>
        <v>2</v>
      </c>
    </row>
    <row r="500" spans="1:15">
      <c r="A500" s="2">
        <v>499</v>
      </c>
      <c r="B500" s="4">
        <f>DAY(E500)</f>
        <v>15</v>
      </c>
      <c r="C500" s="4">
        <f>MONTH(E500)</f>
        <v>1</v>
      </c>
      <c r="D500" s="4">
        <f>YEAR(E500)</f>
        <v>2023</v>
      </c>
      <c r="E500" s="3">
        <v>44941</v>
      </c>
      <c r="F500" s="4" t="s">
        <v>530</v>
      </c>
      <c r="G500" s="4" t="s">
        <v>8</v>
      </c>
      <c r="H500" s="4">
        <v>46</v>
      </c>
      <c r="I500" s="4" t="str" cm="1">
        <f t="array" ref="I500">_xlfn.IFS(H500&lt;30, "Young Adult", H500&lt;50, "Adult", H500&gt;=50, "Senior")</f>
        <v>Adult</v>
      </c>
      <c r="J500" s="4" t="s">
        <v>2</v>
      </c>
      <c r="K500" s="4">
        <v>2</v>
      </c>
      <c r="L500" s="16">
        <v>30</v>
      </c>
      <c r="M500" s="16">
        <f xml:space="preserve"> K500 * L500</f>
        <v>60</v>
      </c>
      <c r="N500" s="16">
        <f>M500 * $Q$3</f>
        <v>0.89999999999999991</v>
      </c>
      <c r="O500" s="16">
        <f>M500 * $Q$4</f>
        <v>1.2</v>
      </c>
    </row>
    <row r="501" spans="1:15">
      <c r="A501" s="2">
        <v>500</v>
      </c>
      <c r="B501" s="4">
        <f>DAY(E501)</f>
        <v>1</v>
      </c>
      <c r="C501" s="4">
        <f>MONTH(E501)</f>
        <v>3</v>
      </c>
      <c r="D501" s="4">
        <f>YEAR(E501)</f>
        <v>2023</v>
      </c>
      <c r="E501" s="3">
        <v>44986</v>
      </c>
      <c r="F501" s="4" t="s">
        <v>531</v>
      </c>
      <c r="G501" s="4" t="s">
        <v>7</v>
      </c>
      <c r="H501" s="4">
        <v>60</v>
      </c>
      <c r="I501" s="4" t="str" cm="1">
        <f t="array" ref="I501">_xlfn.IFS(H501&lt;30, "Young Adult", H501&lt;50, "Adult", H501&gt;=50, "Senior")</f>
        <v>Senior</v>
      </c>
      <c r="J501" s="4" t="s">
        <v>2</v>
      </c>
      <c r="K501" s="4">
        <v>4</v>
      </c>
      <c r="L501" s="16">
        <v>25</v>
      </c>
      <c r="M501" s="16">
        <f xml:space="preserve"> K501 * L501</f>
        <v>100</v>
      </c>
      <c r="N501" s="16">
        <f>M501 * $Q$3</f>
        <v>1.5</v>
      </c>
      <c r="O501" s="16">
        <f>M501 * $Q$4</f>
        <v>2</v>
      </c>
    </row>
    <row r="502" spans="1:15">
      <c r="A502" s="2">
        <v>501</v>
      </c>
      <c r="B502" s="4">
        <f>DAY(E502)</f>
        <v>14</v>
      </c>
      <c r="C502" s="4">
        <f>MONTH(E502)</f>
        <v>5</v>
      </c>
      <c r="D502" s="4">
        <f>YEAR(E502)</f>
        <v>2023</v>
      </c>
      <c r="E502" s="3">
        <v>45060</v>
      </c>
      <c r="F502" s="4" t="s">
        <v>532</v>
      </c>
      <c r="G502" s="4" t="s">
        <v>8</v>
      </c>
      <c r="H502" s="4">
        <v>39</v>
      </c>
      <c r="I502" s="4" t="str" cm="1">
        <f t="array" ref="I502">_xlfn.IFS(H502&lt;30, "Young Adult", H502&lt;50, "Adult", H502&gt;=50, "Senior")</f>
        <v>Adult</v>
      </c>
      <c r="J502" s="4" t="s">
        <v>4</v>
      </c>
      <c r="K502" s="4">
        <v>2</v>
      </c>
      <c r="L502" s="16">
        <v>30</v>
      </c>
      <c r="M502" s="16">
        <f xml:space="preserve"> K502 * L502</f>
        <v>60</v>
      </c>
      <c r="N502" s="16">
        <f>M502 * $Q$3</f>
        <v>0.89999999999999991</v>
      </c>
      <c r="O502" s="16">
        <f>M502 * $Q$4</f>
        <v>1.2</v>
      </c>
    </row>
    <row r="503" spans="1:15">
      <c r="A503" s="2">
        <v>502</v>
      </c>
      <c r="B503" s="4">
        <f>DAY(E503)</f>
        <v>2</v>
      </c>
      <c r="C503" s="4">
        <f>MONTH(E503)</f>
        <v>4</v>
      </c>
      <c r="D503" s="4">
        <f>YEAR(E503)</f>
        <v>2023</v>
      </c>
      <c r="E503" s="3">
        <v>45018</v>
      </c>
      <c r="F503" s="4" t="s">
        <v>533</v>
      </c>
      <c r="G503" s="4" t="s">
        <v>8</v>
      </c>
      <c r="H503" s="4">
        <v>43</v>
      </c>
      <c r="I503" s="4" t="str" cm="1">
        <f t="array" ref="I503">_xlfn.IFS(H503&lt;30, "Young Adult", H503&lt;50, "Adult", H503&gt;=50, "Senior")</f>
        <v>Adult</v>
      </c>
      <c r="J503" s="4" t="s">
        <v>4</v>
      </c>
      <c r="K503" s="4">
        <v>3</v>
      </c>
      <c r="L503" s="16">
        <v>50</v>
      </c>
      <c r="M503" s="16">
        <f xml:space="preserve"> K503 * L503</f>
        <v>150</v>
      </c>
      <c r="N503" s="16">
        <f>M503 * $Q$3</f>
        <v>2.25</v>
      </c>
      <c r="O503" s="16">
        <f>M503 * $Q$4</f>
        <v>3</v>
      </c>
    </row>
    <row r="504" spans="1:15">
      <c r="A504" s="2">
        <v>503</v>
      </c>
      <c r="B504" s="4">
        <f>DAY(E504)</f>
        <v>25</v>
      </c>
      <c r="C504" s="4">
        <f>MONTH(E504)</f>
        <v>10</v>
      </c>
      <c r="D504" s="4">
        <f>YEAR(E504)</f>
        <v>2023</v>
      </c>
      <c r="E504" s="3">
        <v>45224</v>
      </c>
      <c r="F504" s="4" t="s">
        <v>534</v>
      </c>
      <c r="G504" s="4" t="s">
        <v>8</v>
      </c>
      <c r="H504" s="4">
        <v>45</v>
      </c>
      <c r="I504" s="4" t="str" cm="1">
        <f t="array" ref="I504">_xlfn.IFS(H504&lt;30, "Young Adult", H504&lt;50, "Adult", H504&gt;=50, "Senior")</f>
        <v>Adult</v>
      </c>
      <c r="J504" s="4" t="s">
        <v>2</v>
      </c>
      <c r="K504" s="4">
        <v>4</v>
      </c>
      <c r="L504" s="16">
        <v>500</v>
      </c>
      <c r="M504" s="16">
        <f xml:space="preserve"> K504 * L504</f>
        <v>2000</v>
      </c>
      <c r="N504" s="16">
        <f>M504 * $Q$3</f>
        <v>30</v>
      </c>
      <c r="O504" s="16">
        <f>M504 * $Q$4</f>
        <v>40</v>
      </c>
    </row>
    <row r="505" spans="1:15">
      <c r="A505" s="2">
        <v>504</v>
      </c>
      <c r="B505" s="4">
        <f>DAY(E505)</f>
        <v>16</v>
      </c>
      <c r="C505" s="4">
        <f>MONTH(E505)</f>
        <v>5</v>
      </c>
      <c r="D505" s="4">
        <f>YEAR(E505)</f>
        <v>2023</v>
      </c>
      <c r="E505" s="3">
        <v>45062</v>
      </c>
      <c r="F505" s="4" t="s">
        <v>535</v>
      </c>
      <c r="G505" s="4" t="s">
        <v>7</v>
      </c>
      <c r="H505" s="4">
        <v>38</v>
      </c>
      <c r="I505" s="4" t="str" cm="1">
        <f t="array" ref="I505">_xlfn.IFS(H505&lt;30, "Young Adult", H505&lt;50, "Adult", H505&gt;=50, "Senior")</f>
        <v>Adult</v>
      </c>
      <c r="J505" s="4" t="s">
        <v>2</v>
      </c>
      <c r="K505" s="4">
        <v>3</v>
      </c>
      <c r="L505" s="16">
        <v>50</v>
      </c>
      <c r="M505" s="16">
        <f xml:space="preserve"> K505 * L505</f>
        <v>150</v>
      </c>
      <c r="N505" s="16">
        <f>M505 * $Q$3</f>
        <v>2.25</v>
      </c>
      <c r="O505" s="16">
        <f>M505 * $Q$4</f>
        <v>3</v>
      </c>
    </row>
    <row r="506" spans="1:15">
      <c r="A506" s="2">
        <v>505</v>
      </c>
      <c r="B506" s="4">
        <f>DAY(E506)</f>
        <v>20</v>
      </c>
      <c r="C506" s="4">
        <f>MONTH(E506)</f>
        <v>1</v>
      </c>
      <c r="D506" s="4">
        <f>YEAR(E506)</f>
        <v>2023</v>
      </c>
      <c r="E506" s="3">
        <v>44946</v>
      </c>
      <c r="F506" s="4" t="s">
        <v>536</v>
      </c>
      <c r="G506" s="4" t="s">
        <v>8</v>
      </c>
      <c r="H506" s="4">
        <v>24</v>
      </c>
      <c r="I506" s="4" t="str" cm="1">
        <f t="array" ref="I506">_xlfn.IFS(H506&lt;30, "Young Adult", H506&lt;50, "Adult", H506&gt;=50, "Senior")</f>
        <v>Young Adult</v>
      </c>
      <c r="J506" s="4" t="s">
        <v>2</v>
      </c>
      <c r="K506" s="4">
        <v>1</v>
      </c>
      <c r="L506" s="16">
        <v>50</v>
      </c>
      <c r="M506" s="16">
        <f xml:space="preserve"> K506 * L506</f>
        <v>50</v>
      </c>
      <c r="N506" s="16">
        <f>M506 * $Q$3</f>
        <v>0.75</v>
      </c>
      <c r="O506" s="16">
        <f>M506 * $Q$4</f>
        <v>1</v>
      </c>
    </row>
    <row r="507" spans="1:15">
      <c r="A507" s="2">
        <v>506</v>
      </c>
      <c r="B507" s="4">
        <f>DAY(E507)</f>
        <v>25</v>
      </c>
      <c r="C507" s="4">
        <f>MONTH(E507)</f>
        <v>2</v>
      </c>
      <c r="D507" s="4">
        <f>YEAR(E507)</f>
        <v>2023</v>
      </c>
      <c r="E507" s="3">
        <v>44982</v>
      </c>
      <c r="F507" s="4" t="s">
        <v>537</v>
      </c>
      <c r="G507" s="4" t="s">
        <v>8</v>
      </c>
      <c r="H507" s="4">
        <v>34</v>
      </c>
      <c r="I507" s="4" t="str" cm="1">
        <f t="array" ref="I507">_xlfn.IFS(H507&lt;30, "Young Adult", H507&lt;50, "Adult", H507&gt;=50, "Senior")</f>
        <v>Adult</v>
      </c>
      <c r="J507" s="4" t="s">
        <v>2</v>
      </c>
      <c r="K507" s="4">
        <v>3</v>
      </c>
      <c r="L507" s="16">
        <v>500</v>
      </c>
      <c r="M507" s="16">
        <f xml:space="preserve"> K507 * L507</f>
        <v>1500</v>
      </c>
      <c r="N507" s="16">
        <f>M507 * $Q$3</f>
        <v>22.5</v>
      </c>
      <c r="O507" s="16">
        <f>M507 * $Q$4</f>
        <v>30</v>
      </c>
    </row>
    <row r="508" spans="1:15">
      <c r="A508" s="2">
        <v>507</v>
      </c>
      <c r="B508" s="4">
        <f>DAY(E508)</f>
        <v>2</v>
      </c>
      <c r="C508" s="4">
        <f>MONTH(E508)</f>
        <v>11</v>
      </c>
      <c r="D508" s="4">
        <f>YEAR(E508)</f>
        <v>2023</v>
      </c>
      <c r="E508" s="3">
        <v>45232</v>
      </c>
      <c r="F508" s="4" t="s">
        <v>538</v>
      </c>
      <c r="G508" s="4" t="s">
        <v>7</v>
      </c>
      <c r="H508" s="4">
        <v>37</v>
      </c>
      <c r="I508" s="4" t="str" cm="1">
        <f t="array" ref="I508">_xlfn.IFS(H508&lt;30, "Young Adult", H508&lt;50, "Adult", H508&gt;=50, "Senior")</f>
        <v>Adult</v>
      </c>
      <c r="J508" s="4" t="s">
        <v>4</v>
      </c>
      <c r="K508" s="4">
        <v>3</v>
      </c>
      <c r="L508" s="16">
        <v>500</v>
      </c>
      <c r="M508" s="16">
        <f xml:space="preserve"> K508 * L508</f>
        <v>1500</v>
      </c>
      <c r="N508" s="16">
        <f>M508 * $Q$3</f>
        <v>22.5</v>
      </c>
      <c r="O508" s="16">
        <f>M508 * $Q$4</f>
        <v>30</v>
      </c>
    </row>
    <row r="509" spans="1:15">
      <c r="A509" s="2">
        <v>508</v>
      </c>
      <c r="B509" s="4">
        <f>DAY(E509)</f>
        <v>11</v>
      </c>
      <c r="C509" s="4">
        <f>MONTH(E509)</f>
        <v>8</v>
      </c>
      <c r="D509" s="4">
        <f>YEAR(E509)</f>
        <v>2023</v>
      </c>
      <c r="E509" s="3">
        <v>45149</v>
      </c>
      <c r="F509" s="4" t="s">
        <v>539</v>
      </c>
      <c r="G509" s="4" t="s">
        <v>8</v>
      </c>
      <c r="H509" s="4">
        <v>58</v>
      </c>
      <c r="I509" s="4" t="str" cm="1">
        <f t="array" ref="I509">_xlfn.IFS(H509&lt;30, "Young Adult", H509&lt;50, "Adult", H509&gt;=50, "Senior")</f>
        <v>Senior</v>
      </c>
      <c r="J509" s="4" t="s">
        <v>2</v>
      </c>
      <c r="K509" s="4">
        <v>2</v>
      </c>
      <c r="L509" s="16">
        <v>300</v>
      </c>
      <c r="M509" s="16">
        <f xml:space="preserve"> K509 * L509</f>
        <v>600</v>
      </c>
      <c r="N509" s="16">
        <f>M509 * $Q$3</f>
        <v>9</v>
      </c>
      <c r="O509" s="16">
        <f>M509 * $Q$4</f>
        <v>12</v>
      </c>
    </row>
    <row r="510" spans="1:15">
      <c r="A510" s="2">
        <v>509</v>
      </c>
      <c r="B510" s="4">
        <f>DAY(E510)</f>
        <v>26</v>
      </c>
      <c r="C510" s="4">
        <f>MONTH(E510)</f>
        <v>6</v>
      </c>
      <c r="D510" s="4">
        <f>YEAR(E510)</f>
        <v>2023</v>
      </c>
      <c r="E510" s="3">
        <v>45103</v>
      </c>
      <c r="F510" s="4" t="s">
        <v>540</v>
      </c>
      <c r="G510" s="4" t="s">
        <v>7</v>
      </c>
      <c r="H510" s="4">
        <v>37</v>
      </c>
      <c r="I510" s="4" t="str" cm="1">
        <f t="array" ref="I510">_xlfn.IFS(H510&lt;30, "Young Adult", H510&lt;50, "Adult", H510&gt;=50, "Senior")</f>
        <v>Adult</v>
      </c>
      <c r="J510" s="4" t="s">
        <v>4</v>
      </c>
      <c r="K510" s="4">
        <v>3</v>
      </c>
      <c r="L510" s="16">
        <v>300</v>
      </c>
      <c r="M510" s="16">
        <f xml:space="preserve"> K510 * L510</f>
        <v>900</v>
      </c>
      <c r="N510" s="16">
        <f>M510 * $Q$3</f>
        <v>13.5</v>
      </c>
      <c r="O510" s="16">
        <f>M510 * $Q$4</f>
        <v>18</v>
      </c>
    </row>
    <row r="511" spans="1:15">
      <c r="A511" s="2">
        <v>510</v>
      </c>
      <c r="B511" s="4">
        <f>DAY(E511)</f>
        <v>10</v>
      </c>
      <c r="C511" s="4">
        <f>MONTH(E511)</f>
        <v>6</v>
      </c>
      <c r="D511" s="4">
        <f>YEAR(E511)</f>
        <v>2023</v>
      </c>
      <c r="E511" s="3">
        <v>45087</v>
      </c>
      <c r="F511" s="4" t="s">
        <v>541</v>
      </c>
      <c r="G511" s="4" t="s">
        <v>7</v>
      </c>
      <c r="H511" s="4">
        <v>39</v>
      </c>
      <c r="I511" s="4" t="str" cm="1">
        <f t="array" ref="I511">_xlfn.IFS(H511&lt;30, "Young Adult", H511&lt;50, "Adult", H511&gt;=50, "Senior")</f>
        <v>Adult</v>
      </c>
      <c r="J511" s="4" t="s">
        <v>2</v>
      </c>
      <c r="K511" s="4">
        <v>4</v>
      </c>
      <c r="L511" s="16">
        <v>50</v>
      </c>
      <c r="M511" s="16">
        <f xml:space="preserve"> K511 * L511</f>
        <v>200</v>
      </c>
      <c r="N511" s="16">
        <f>M511 * $Q$3</f>
        <v>3</v>
      </c>
      <c r="O511" s="16">
        <f>M511 * $Q$4</f>
        <v>4</v>
      </c>
    </row>
    <row r="512" spans="1:15">
      <c r="A512" s="2">
        <v>511</v>
      </c>
      <c r="B512" s="4">
        <f>DAY(E512)</f>
        <v>12</v>
      </c>
      <c r="C512" s="4">
        <f>MONTH(E512)</f>
        <v>8</v>
      </c>
      <c r="D512" s="4">
        <f>YEAR(E512)</f>
        <v>2023</v>
      </c>
      <c r="E512" s="3">
        <v>45150</v>
      </c>
      <c r="F512" s="4" t="s">
        <v>542</v>
      </c>
      <c r="G512" s="4" t="s">
        <v>8</v>
      </c>
      <c r="H512" s="4">
        <v>45</v>
      </c>
      <c r="I512" s="4" t="str" cm="1">
        <f t="array" ref="I512">_xlfn.IFS(H512&lt;30, "Young Adult", H512&lt;50, "Adult", H512&gt;=50, "Senior")</f>
        <v>Adult</v>
      </c>
      <c r="J512" s="4" t="s">
        <v>2</v>
      </c>
      <c r="K512" s="4">
        <v>2</v>
      </c>
      <c r="L512" s="16">
        <v>50</v>
      </c>
      <c r="M512" s="16">
        <f xml:space="preserve"> K512 * L512</f>
        <v>100</v>
      </c>
      <c r="N512" s="16">
        <f>M512 * $Q$3</f>
        <v>1.5</v>
      </c>
      <c r="O512" s="16">
        <f>M512 * $Q$4</f>
        <v>2</v>
      </c>
    </row>
    <row r="513" spans="1:17">
      <c r="A513" s="2">
        <v>512</v>
      </c>
      <c r="B513" s="4">
        <f>DAY(E513)</f>
        <v>7</v>
      </c>
      <c r="C513" s="4">
        <f>MONTH(E513)</f>
        <v>11</v>
      </c>
      <c r="D513" s="4">
        <f>YEAR(E513)</f>
        <v>2023</v>
      </c>
      <c r="E513" s="3">
        <v>45237</v>
      </c>
      <c r="F513" s="4" t="s">
        <v>543</v>
      </c>
      <c r="G513" s="4" t="s">
        <v>7</v>
      </c>
      <c r="H513" s="4">
        <v>57</v>
      </c>
      <c r="I513" s="4" t="str" cm="1">
        <f t="array" ref="I513">_xlfn.IFS(H513&lt;30, "Young Adult", H513&lt;50, "Adult", H513&gt;=50, "Senior")</f>
        <v>Senior</v>
      </c>
      <c r="J513" s="4" t="s">
        <v>2</v>
      </c>
      <c r="K513" s="4">
        <v>1</v>
      </c>
      <c r="L513" s="16">
        <v>25</v>
      </c>
      <c r="M513" s="16">
        <f xml:space="preserve"> K513 * L513</f>
        <v>25</v>
      </c>
      <c r="N513" s="16">
        <f>M513 * $Q$3</f>
        <v>0.375</v>
      </c>
      <c r="O513" s="16">
        <f>M513 * $Q$4</f>
        <v>0.5</v>
      </c>
    </row>
    <row r="514" spans="1:17">
      <c r="A514" s="2">
        <v>513</v>
      </c>
      <c r="B514" s="4">
        <f>DAY(E514)</f>
        <v>19</v>
      </c>
      <c r="C514" s="4">
        <f>MONTH(E514)</f>
        <v>9</v>
      </c>
      <c r="D514" s="4">
        <f>YEAR(E514)</f>
        <v>2023</v>
      </c>
      <c r="E514" s="3">
        <v>45188</v>
      </c>
      <c r="F514" s="4" t="s">
        <v>544</v>
      </c>
      <c r="G514" s="4" t="s">
        <v>8</v>
      </c>
      <c r="H514" s="4">
        <v>24</v>
      </c>
      <c r="I514" s="4" t="str" cm="1">
        <f t="array" ref="I514">_xlfn.IFS(H514&lt;30, "Young Adult", H514&lt;50, "Adult", H514&gt;=50, "Senior")</f>
        <v>Young Adult</v>
      </c>
      <c r="J514" s="4" t="s">
        <v>4</v>
      </c>
      <c r="K514" s="4">
        <v>4</v>
      </c>
      <c r="L514" s="16">
        <v>25</v>
      </c>
      <c r="M514" s="16">
        <f xml:space="preserve"> K514 * L514</f>
        <v>100</v>
      </c>
      <c r="N514" s="16">
        <f>M514 * $Q$3</f>
        <v>1.5</v>
      </c>
      <c r="O514" s="16">
        <f>M514 * $Q$4</f>
        <v>2</v>
      </c>
    </row>
    <row r="515" spans="1:17">
      <c r="A515" s="2">
        <v>514</v>
      </c>
      <c r="B515" s="4">
        <f>DAY(E515)</f>
        <v>1</v>
      </c>
      <c r="C515" s="4">
        <f>MONTH(E515)</f>
        <v>3</v>
      </c>
      <c r="D515" s="4">
        <f>YEAR(E515)</f>
        <v>2023</v>
      </c>
      <c r="E515" s="3">
        <v>44986</v>
      </c>
      <c r="F515" s="4" t="s">
        <v>545</v>
      </c>
      <c r="G515" s="4" t="s">
        <v>7</v>
      </c>
      <c r="H515" s="4">
        <v>18</v>
      </c>
      <c r="I515" s="4" t="str" cm="1">
        <f t="array" ref="I515">_xlfn.IFS(H515&lt;30, "Young Adult", H515&lt;50, "Adult", H515&gt;=50, "Senior")</f>
        <v>Young Adult</v>
      </c>
      <c r="J515" s="4" t="s">
        <v>4</v>
      </c>
      <c r="K515" s="4">
        <v>1</v>
      </c>
      <c r="L515" s="16">
        <v>300</v>
      </c>
      <c r="M515" s="16">
        <f xml:space="preserve"> K515 * L515</f>
        <v>300</v>
      </c>
      <c r="N515" s="16">
        <f>M515 * $Q$3</f>
        <v>4.5</v>
      </c>
      <c r="O515" s="16">
        <f>M515 * $Q$4</f>
        <v>6</v>
      </c>
    </row>
    <row r="516" spans="1:17">
      <c r="A516" s="2">
        <v>515</v>
      </c>
      <c r="B516" s="4">
        <f>DAY(E516)</f>
        <v>17</v>
      </c>
      <c r="C516" s="4">
        <f>MONTH(E516)</f>
        <v>7</v>
      </c>
      <c r="D516" s="4">
        <f>YEAR(E516)</f>
        <v>2023</v>
      </c>
      <c r="E516" s="3">
        <v>45124</v>
      </c>
      <c r="F516" s="4" t="s">
        <v>546</v>
      </c>
      <c r="G516" s="4" t="s">
        <v>7</v>
      </c>
      <c r="H516" s="4">
        <v>49</v>
      </c>
      <c r="I516" s="4" t="str" cm="1">
        <f t="array" ref="I516">_xlfn.IFS(H516&lt;30, "Young Adult", H516&lt;50, "Adult", H516&gt;=50, "Senior")</f>
        <v>Adult</v>
      </c>
      <c r="J516" s="4" t="s">
        <v>3</v>
      </c>
      <c r="K516" s="4">
        <v>3</v>
      </c>
      <c r="L516" s="16">
        <v>300</v>
      </c>
      <c r="M516" s="16">
        <f xml:space="preserve"> K516 * L516</f>
        <v>900</v>
      </c>
      <c r="N516" s="16">
        <f>M516 * $Q$3</f>
        <v>13.5</v>
      </c>
      <c r="O516" s="16">
        <f>M516 * $Q$4</f>
        <v>18</v>
      </c>
    </row>
    <row r="517" spans="1:17">
      <c r="A517" s="2">
        <v>516</v>
      </c>
      <c r="B517" s="4">
        <f>DAY(E517)</f>
        <v>23</v>
      </c>
      <c r="C517" s="4">
        <f>MONTH(E517)</f>
        <v>10</v>
      </c>
      <c r="D517" s="4">
        <f>YEAR(E517)</f>
        <v>2023</v>
      </c>
      <c r="E517" s="3">
        <v>45222</v>
      </c>
      <c r="F517" s="4" t="s">
        <v>547</v>
      </c>
      <c r="G517" s="4" t="s">
        <v>8</v>
      </c>
      <c r="H517" s="4">
        <v>30</v>
      </c>
      <c r="I517" s="4" t="str" cm="1">
        <f t="array" ref="I517">_xlfn.IFS(H517&lt;30, "Young Adult", H517&lt;50, "Adult", H517&gt;=50, "Senior")</f>
        <v>Adult</v>
      </c>
      <c r="J517" s="4" t="s">
        <v>2</v>
      </c>
      <c r="K517" s="4">
        <v>4</v>
      </c>
      <c r="L517" s="16">
        <v>25</v>
      </c>
      <c r="M517" s="16">
        <f xml:space="preserve"> K517 * L517</f>
        <v>100</v>
      </c>
      <c r="N517" s="16">
        <f>M517 * $Q$3</f>
        <v>1.5</v>
      </c>
      <c r="O517" s="16">
        <f>M517 * $Q$4</f>
        <v>2</v>
      </c>
    </row>
    <row r="518" spans="1:17">
      <c r="A518" s="2">
        <v>517</v>
      </c>
      <c r="B518" s="4">
        <f>DAY(E518)</f>
        <v>8</v>
      </c>
      <c r="C518" s="4">
        <f>MONTH(E518)</f>
        <v>4</v>
      </c>
      <c r="D518" s="4">
        <f>YEAR(E518)</f>
        <v>2023</v>
      </c>
      <c r="E518" s="3">
        <v>45024</v>
      </c>
      <c r="F518" s="4" t="s">
        <v>548</v>
      </c>
      <c r="G518" s="4" t="s">
        <v>7</v>
      </c>
      <c r="H518" s="4">
        <v>47</v>
      </c>
      <c r="I518" s="4" t="str" cm="1">
        <f t="array" ref="I518">_xlfn.IFS(H518&lt;30, "Young Adult", H518&lt;50, "Adult", H518&gt;=50, "Senior")</f>
        <v>Adult</v>
      </c>
      <c r="J518" s="4" t="s">
        <v>3</v>
      </c>
      <c r="K518" s="4">
        <v>4</v>
      </c>
      <c r="L518" s="16">
        <v>25</v>
      </c>
      <c r="M518" s="16">
        <f xml:space="preserve"> K518 * L518</f>
        <v>100</v>
      </c>
      <c r="N518" s="16">
        <f>M518 * $Q$3</f>
        <v>1.5</v>
      </c>
      <c r="O518" s="16">
        <f>M518 * $Q$4</f>
        <v>2</v>
      </c>
    </row>
    <row r="519" spans="1:17">
      <c r="A519" s="2">
        <v>518</v>
      </c>
      <c r="B519" s="4">
        <f>DAY(E519)</f>
        <v>11</v>
      </c>
      <c r="C519" s="4">
        <f>MONTH(E519)</f>
        <v>5</v>
      </c>
      <c r="D519" s="4">
        <f>YEAR(E519)</f>
        <v>2023</v>
      </c>
      <c r="E519" s="3">
        <v>45057</v>
      </c>
      <c r="F519" s="4" t="s">
        <v>549</v>
      </c>
      <c r="G519" s="4" t="s">
        <v>7</v>
      </c>
      <c r="H519" s="4">
        <v>40</v>
      </c>
      <c r="I519" s="4" t="str" cm="1">
        <f t="array" ref="I519">_xlfn.IFS(H519&lt;30, "Young Adult", H519&lt;50, "Adult", H519&gt;=50, "Senior")</f>
        <v>Adult</v>
      </c>
      <c r="J519" s="4" t="s">
        <v>3</v>
      </c>
      <c r="K519" s="4">
        <v>1</v>
      </c>
      <c r="L519" s="16">
        <v>30</v>
      </c>
      <c r="M519" s="16">
        <f xml:space="preserve"> K519 * L519</f>
        <v>30</v>
      </c>
      <c r="N519" s="16">
        <f>M519 * $Q$3</f>
        <v>0.44999999999999996</v>
      </c>
      <c r="O519" s="16">
        <f>M519 * $Q$4</f>
        <v>0.6</v>
      </c>
    </row>
    <row r="520" spans="1:17">
      <c r="A520" s="2">
        <v>519</v>
      </c>
      <c r="B520" s="4">
        <f>DAY(E520)</f>
        <v>23</v>
      </c>
      <c r="C520" s="4">
        <f>MONTH(E520)</f>
        <v>1</v>
      </c>
      <c r="D520" s="4">
        <f>YEAR(E520)</f>
        <v>2023</v>
      </c>
      <c r="E520" s="3">
        <v>44949</v>
      </c>
      <c r="F520" s="4" t="s">
        <v>550</v>
      </c>
      <c r="G520" s="4" t="s">
        <v>7</v>
      </c>
      <c r="H520" s="4">
        <v>36</v>
      </c>
      <c r="I520" s="4" t="str" cm="1">
        <f t="array" ref="I520">_xlfn.IFS(H520&lt;30, "Young Adult", H520&lt;50, "Adult", H520&gt;=50, "Senior")</f>
        <v>Adult</v>
      </c>
      <c r="J520" s="4" t="s">
        <v>4</v>
      </c>
      <c r="K520" s="4">
        <v>4</v>
      </c>
      <c r="L520" s="16">
        <v>30</v>
      </c>
      <c r="M520" s="16">
        <f xml:space="preserve"> K520 * L520</f>
        <v>120</v>
      </c>
      <c r="N520" s="16">
        <f>M520 * $Q$3</f>
        <v>1.7999999999999998</v>
      </c>
      <c r="O520" s="16">
        <f>M520 * $Q$4</f>
        <v>2.4</v>
      </c>
    </row>
    <row r="521" spans="1:17">
      <c r="A521" s="2">
        <v>520</v>
      </c>
      <c r="B521" s="4">
        <f>DAY(E521)</f>
        <v>29</v>
      </c>
      <c r="C521" s="4">
        <f>MONTH(E521)</f>
        <v>12</v>
      </c>
      <c r="D521" s="4">
        <f>YEAR(E521)</f>
        <v>2023</v>
      </c>
      <c r="E521" s="3">
        <v>45289</v>
      </c>
      <c r="F521" s="4" t="s">
        <v>551</v>
      </c>
      <c r="G521" s="4" t="s">
        <v>7</v>
      </c>
      <c r="H521" s="4">
        <v>49</v>
      </c>
      <c r="I521" s="4" t="str" cm="1">
        <f t="array" ref="I521">_xlfn.IFS(H521&lt;30, "Young Adult", H521&lt;50, "Adult", H521&gt;=50, "Senior")</f>
        <v>Adult</v>
      </c>
      <c r="J521" s="4" t="s">
        <v>4</v>
      </c>
      <c r="K521" s="4">
        <v>4</v>
      </c>
      <c r="L521" s="16">
        <v>25</v>
      </c>
      <c r="M521" s="16">
        <f xml:space="preserve"> K521 * L521</f>
        <v>100</v>
      </c>
      <c r="N521" s="16">
        <f>M521 * $Q$3</f>
        <v>1.5</v>
      </c>
      <c r="O521" s="16">
        <f>M521 * $Q$4</f>
        <v>2</v>
      </c>
    </row>
    <row r="522" spans="1:17">
      <c r="A522" s="2">
        <v>521</v>
      </c>
      <c r="B522" s="4">
        <f>DAY(E522)</f>
        <v>12</v>
      </c>
      <c r="C522" s="4">
        <f>MONTH(E522)</f>
        <v>8</v>
      </c>
      <c r="D522" s="4">
        <f>YEAR(E522)</f>
        <v>2023</v>
      </c>
      <c r="E522" s="3">
        <v>45150</v>
      </c>
      <c r="F522" s="4" t="s">
        <v>552</v>
      </c>
      <c r="G522" s="4" t="s">
        <v>7</v>
      </c>
      <c r="H522" s="4">
        <v>47</v>
      </c>
      <c r="I522" s="4" t="str" cm="1">
        <f t="array" ref="I522">_xlfn.IFS(H522&lt;30, "Young Adult", H522&lt;50, "Adult", H522&gt;=50, "Senior")</f>
        <v>Adult</v>
      </c>
      <c r="J522" s="4" t="s">
        <v>3</v>
      </c>
      <c r="K522" s="4">
        <v>4</v>
      </c>
      <c r="L522" s="16">
        <v>30</v>
      </c>
      <c r="M522" s="16">
        <f xml:space="preserve"> K522 * L522</f>
        <v>120</v>
      </c>
      <c r="N522" s="16">
        <f>M522 * $Q$3</f>
        <v>1.7999999999999998</v>
      </c>
      <c r="O522" s="16">
        <f>M522 * $Q$4</f>
        <v>2.4</v>
      </c>
    </row>
    <row r="523" spans="1:17">
      <c r="A523" s="2">
        <v>522</v>
      </c>
      <c r="B523" s="4">
        <f>DAY(E523)</f>
        <v>1</v>
      </c>
      <c r="C523" s="4">
        <f>MONTH(E523)</f>
        <v>1</v>
      </c>
      <c r="D523" s="4">
        <f>YEAR(E523)</f>
        <v>2023</v>
      </c>
      <c r="E523" s="3">
        <v>44927</v>
      </c>
      <c r="F523" s="4" t="s">
        <v>553</v>
      </c>
      <c r="G523" s="4" t="s">
        <v>8</v>
      </c>
      <c r="H523" s="4">
        <v>46</v>
      </c>
      <c r="I523" s="4" t="str" cm="1">
        <f t="array" ref="I523">_xlfn.IFS(H523&lt;30, "Young Adult", H523&lt;50, "Adult", H523&gt;=50, "Senior")</f>
        <v>Adult</v>
      </c>
      <c r="J523" s="4" t="s">
        <v>2</v>
      </c>
      <c r="K523" s="4">
        <v>3</v>
      </c>
      <c r="L523" s="16">
        <v>500</v>
      </c>
      <c r="M523" s="16">
        <f xml:space="preserve"> K523 * L523</f>
        <v>1500</v>
      </c>
      <c r="N523" s="16">
        <f>M523 * $Q$3</f>
        <v>22.5</v>
      </c>
      <c r="O523" s="16">
        <f>M523 * $Q$4</f>
        <v>30</v>
      </c>
      <c r="P523" t="s">
        <v>31</v>
      </c>
      <c r="Q523" s="19">
        <v>0.02</v>
      </c>
    </row>
    <row r="524" spans="1:17">
      <c r="A524" s="2">
        <v>523</v>
      </c>
      <c r="B524" s="4">
        <f>DAY(E524)</f>
        <v>24</v>
      </c>
      <c r="C524" s="4">
        <f>MONTH(E524)</f>
        <v>9</v>
      </c>
      <c r="D524" s="4">
        <f>YEAR(E524)</f>
        <v>2023</v>
      </c>
      <c r="E524" s="3">
        <v>45193</v>
      </c>
      <c r="F524" s="4" t="s">
        <v>554</v>
      </c>
      <c r="G524" s="4" t="s">
        <v>7</v>
      </c>
      <c r="H524" s="4">
        <v>62</v>
      </c>
      <c r="I524" s="4" t="str" cm="1">
        <f t="array" ref="I524">_xlfn.IFS(H524&lt;30, "Young Adult", H524&lt;50, "Adult", H524&gt;=50, "Senior")</f>
        <v>Senior</v>
      </c>
      <c r="J524" s="4" t="s">
        <v>4</v>
      </c>
      <c r="K524" s="4">
        <v>1</v>
      </c>
      <c r="L524" s="16">
        <v>300</v>
      </c>
      <c r="M524" s="16">
        <f xml:space="preserve"> K524 * L524</f>
        <v>300</v>
      </c>
      <c r="N524" s="16">
        <f>M524 * $Q$3</f>
        <v>4.5</v>
      </c>
      <c r="O524" s="16">
        <f>M524 * $Q$4</f>
        <v>6</v>
      </c>
    </row>
    <row r="525" spans="1:17">
      <c r="A525" s="2">
        <v>524</v>
      </c>
      <c r="B525" s="4">
        <f>DAY(E525)</f>
        <v>3</v>
      </c>
      <c r="C525" s="4">
        <f>MONTH(E525)</f>
        <v>10</v>
      </c>
      <c r="D525" s="4">
        <f>YEAR(E525)</f>
        <v>2023</v>
      </c>
      <c r="E525" s="3">
        <v>45202</v>
      </c>
      <c r="F525" s="4" t="s">
        <v>555</v>
      </c>
      <c r="G525" s="4" t="s">
        <v>8</v>
      </c>
      <c r="H525" s="4">
        <v>46</v>
      </c>
      <c r="I525" s="4" t="str" cm="1">
        <f t="array" ref="I525">_xlfn.IFS(H525&lt;30, "Young Adult", H525&lt;50, "Adult", H525&gt;=50, "Senior")</f>
        <v>Adult</v>
      </c>
      <c r="J525" s="4" t="s">
        <v>2</v>
      </c>
      <c r="K525" s="4">
        <v>4</v>
      </c>
      <c r="L525" s="16">
        <v>300</v>
      </c>
      <c r="M525" s="16">
        <f xml:space="preserve"> K525 * L525</f>
        <v>1200</v>
      </c>
      <c r="N525" s="16">
        <f>M525 * $Q$3</f>
        <v>18</v>
      </c>
      <c r="O525" s="16">
        <f>M525 * $Q$4</f>
        <v>24</v>
      </c>
    </row>
    <row r="526" spans="1:17">
      <c r="A526" s="2">
        <v>525</v>
      </c>
      <c r="B526" s="4">
        <f>DAY(E526)</f>
        <v>18</v>
      </c>
      <c r="C526" s="4">
        <f>MONTH(E526)</f>
        <v>12</v>
      </c>
      <c r="D526" s="4">
        <f>YEAR(E526)</f>
        <v>2023</v>
      </c>
      <c r="E526" s="3">
        <v>45278</v>
      </c>
      <c r="F526" s="4" t="s">
        <v>556</v>
      </c>
      <c r="G526" s="4" t="s">
        <v>7</v>
      </c>
      <c r="H526" s="4">
        <v>47</v>
      </c>
      <c r="I526" s="4" t="str" cm="1">
        <f t="array" ref="I526">_xlfn.IFS(H526&lt;30, "Young Adult", H526&lt;50, "Adult", H526&gt;=50, "Senior")</f>
        <v>Adult</v>
      </c>
      <c r="J526" s="4" t="s">
        <v>2</v>
      </c>
      <c r="K526" s="4">
        <v>2</v>
      </c>
      <c r="L526" s="16">
        <v>25</v>
      </c>
      <c r="M526" s="16">
        <f xml:space="preserve"> K526 * L526</f>
        <v>50</v>
      </c>
      <c r="N526" s="16">
        <f>M526 * $Q$3</f>
        <v>0.75</v>
      </c>
      <c r="O526" s="16">
        <f>M526 * $Q$4</f>
        <v>1</v>
      </c>
    </row>
    <row r="527" spans="1:17">
      <c r="A527" s="2">
        <v>526</v>
      </c>
      <c r="B527" s="4">
        <f>DAY(E527)</f>
        <v>10</v>
      </c>
      <c r="C527" s="4">
        <f>MONTH(E527)</f>
        <v>12</v>
      </c>
      <c r="D527" s="4">
        <f>YEAR(E527)</f>
        <v>2023</v>
      </c>
      <c r="E527" s="3">
        <v>45270</v>
      </c>
      <c r="F527" s="4" t="s">
        <v>557</v>
      </c>
      <c r="G527" s="4" t="s">
        <v>8</v>
      </c>
      <c r="H527" s="4">
        <v>33</v>
      </c>
      <c r="I527" s="4" t="str" cm="1">
        <f t="array" ref="I527">_xlfn.IFS(H527&lt;30, "Young Adult", H527&lt;50, "Adult", H527&gt;=50, "Senior")</f>
        <v>Adult</v>
      </c>
      <c r="J527" s="4" t="s">
        <v>3</v>
      </c>
      <c r="K527" s="4">
        <v>2</v>
      </c>
      <c r="L527" s="16">
        <v>50</v>
      </c>
      <c r="M527" s="16">
        <f xml:space="preserve"> K527 * L527</f>
        <v>100</v>
      </c>
      <c r="N527" s="16">
        <f>M527 * $Q$3</f>
        <v>1.5</v>
      </c>
      <c r="O527" s="16">
        <f>M527 * $Q$4</f>
        <v>2</v>
      </c>
    </row>
    <row r="528" spans="1:17">
      <c r="A528" s="2">
        <v>527</v>
      </c>
      <c r="B528" s="4">
        <f>DAY(E528)</f>
        <v>11</v>
      </c>
      <c r="C528" s="4">
        <f>MONTH(E528)</f>
        <v>4</v>
      </c>
      <c r="D528" s="4">
        <f>YEAR(E528)</f>
        <v>2023</v>
      </c>
      <c r="E528" s="3">
        <v>45027</v>
      </c>
      <c r="F528" s="4" t="s">
        <v>558</v>
      </c>
      <c r="G528" s="4" t="s">
        <v>8</v>
      </c>
      <c r="H528" s="4">
        <v>57</v>
      </c>
      <c r="I528" s="4" t="str" cm="1">
        <f t="array" ref="I528">_xlfn.IFS(H528&lt;30, "Young Adult", H528&lt;50, "Adult", H528&gt;=50, "Senior")</f>
        <v>Senior</v>
      </c>
      <c r="J528" s="4" t="s">
        <v>3</v>
      </c>
      <c r="K528" s="4">
        <v>2</v>
      </c>
      <c r="L528" s="16">
        <v>25</v>
      </c>
      <c r="M528" s="16">
        <f xml:space="preserve"> K528 * L528</f>
        <v>50</v>
      </c>
      <c r="N528" s="16">
        <f>M528 * $Q$3</f>
        <v>0.75</v>
      </c>
      <c r="O528" s="16">
        <f>M528 * $Q$4</f>
        <v>1</v>
      </c>
    </row>
    <row r="529" spans="1:15">
      <c r="A529" s="2">
        <v>528</v>
      </c>
      <c r="B529" s="4">
        <f>DAY(E529)</f>
        <v>6</v>
      </c>
      <c r="C529" s="4">
        <f>MONTH(E529)</f>
        <v>7</v>
      </c>
      <c r="D529" s="4">
        <f>YEAR(E529)</f>
        <v>2023</v>
      </c>
      <c r="E529" s="3">
        <v>45113</v>
      </c>
      <c r="F529" s="4" t="s">
        <v>559</v>
      </c>
      <c r="G529" s="4" t="s">
        <v>7</v>
      </c>
      <c r="H529" s="4">
        <v>36</v>
      </c>
      <c r="I529" s="4" t="str" cm="1">
        <f t="array" ref="I529">_xlfn.IFS(H529&lt;30, "Young Adult", H529&lt;50, "Adult", H529&gt;=50, "Senior")</f>
        <v>Adult</v>
      </c>
      <c r="J529" s="4" t="s">
        <v>3</v>
      </c>
      <c r="K529" s="4">
        <v>2</v>
      </c>
      <c r="L529" s="16">
        <v>30</v>
      </c>
      <c r="M529" s="16">
        <f xml:space="preserve"> K529 * L529</f>
        <v>60</v>
      </c>
      <c r="N529" s="16">
        <f>M529 * $Q$3</f>
        <v>0.89999999999999991</v>
      </c>
      <c r="O529" s="16">
        <f>M529 * $Q$4</f>
        <v>1.2</v>
      </c>
    </row>
    <row r="530" spans="1:15">
      <c r="A530" s="2">
        <v>529</v>
      </c>
      <c r="B530" s="4">
        <f>DAY(E530)</f>
        <v>9</v>
      </c>
      <c r="C530" s="4">
        <f>MONTH(E530)</f>
        <v>8</v>
      </c>
      <c r="D530" s="4">
        <f>YEAR(E530)</f>
        <v>2023</v>
      </c>
      <c r="E530" s="3">
        <v>45147</v>
      </c>
      <c r="F530" s="4" t="s">
        <v>560</v>
      </c>
      <c r="G530" s="4" t="s">
        <v>7</v>
      </c>
      <c r="H530" s="4">
        <v>35</v>
      </c>
      <c r="I530" s="4" t="str" cm="1">
        <f t="array" ref="I530">_xlfn.IFS(H530&lt;30, "Young Adult", H530&lt;50, "Adult", H530&gt;=50, "Senior")</f>
        <v>Adult</v>
      </c>
      <c r="J530" s="4" t="s">
        <v>3</v>
      </c>
      <c r="K530" s="4">
        <v>3</v>
      </c>
      <c r="L530" s="16">
        <v>50</v>
      </c>
      <c r="M530" s="16">
        <f xml:space="preserve"> K530 * L530</f>
        <v>150</v>
      </c>
      <c r="N530" s="16">
        <f>M530 * $Q$3</f>
        <v>2.25</v>
      </c>
      <c r="O530" s="16">
        <f>M530 * $Q$4</f>
        <v>3</v>
      </c>
    </row>
    <row r="531" spans="1:15">
      <c r="A531" s="2">
        <v>530</v>
      </c>
      <c r="B531" s="4">
        <f>DAY(E531)</f>
        <v>5</v>
      </c>
      <c r="C531" s="4">
        <f>MONTH(E531)</f>
        <v>2</v>
      </c>
      <c r="D531" s="4">
        <f>YEAR(E531)</f>
        <v>2023</v>
      </c>
      <c r="E531" s="3">
        <v>44962</v>
      </c>
      <c r="F531" s="4" t="s">
        <v>561</v>
      </c>
      <c r="G531" s="4" t="s">
        <v>7</v>
      </c>
      <c r="H531" s="4">
        <v>18</v>
      </c>
      <c r="I531" s="4" t="str" cm="1">
        <f t="array" ref="I531">_xlfn.IFS(H531&lt;30, "Young Adult", H531&lt;50, "Adult", H531&gt;=50, "Senior")</f>
        <v>Young Adult</v>
      </c>
      <c r="J531" s="4" t="s">
        <v>4</v>
      </c>
      <c r="K531" s="4">
        <v>4</v>
      </c>
      <c r="L531" s="16">
        <v>30</v>
      </c>
      <c r="M531" s="16">
        <f xml:space="preserve"> K531 * L531</f>
        <v>120</v>
      </c>
      <c r="N531" s="16">
        <f>M531 * $Q$3</f>
        <v>1.7999999999999998</v>
      </c>
      <c r="O531" s="16">
        <f>M531 * $Q$4</f>
        <v>2.4</v>
      </c>
    </row>
    <row r="532" spans="1:15">
      <c r="A532" s="2">
        <v>531</v>
      </c>
      <c r="B532" s="4">
        <f>DAY(E532)</f>
        <v>7</v>
      </c>
      <c r="C532" s="4">
        <f>MONTH(E532)</f>
        <v>12</v>
      </c>
      <c r="D532" s="4">
        <f>YEAR(E532)</f>
        <v>2023</v>
      </c>
      <c r="E532" s="3">
        <v>45267</v>
      </c>
      <c r="F532" s="4" t="s">
        <v>562</v>
      </c>
      <c r="G532" s="4" t="s">
        <v>8</v>
      </c>
      <c r="H532" s="4">
        <v>31</v>
      </c>
      <c r="I532" s="4" t="str" cm="1">
        <f t="array" ref="I532">_xlfn.IFS(H532&lt;30, "Young Adult", H532&lt;50, "Adult", H532&gt;=50, "Senior")</f>
        <v>Adult</v>
      </c>
      <c r="J532" s="4" t="s">
        <v>4</v>
      </c>
      <c r="K532" s="4">
        <v>1</v>
      </c>
      <c r="L532" s="16">
        <v>500</v>
      </c>
      <c r="M532" s="16">
        <f xml:space="preserve"> K532 * L532</f>
        <v>500</v>
      </c>
      <c r="N532" s="16">
        <f>M532 * $Q$3</f>
        <v>7.5</v>
      </c>
      <c r="O532" s="16">
        <f>M532 * $Q$4</f>
        <v>10</v>
      </c>
    </row>
    <row r="533" spans="1:15">
      <c r="A533" s="2">
        <v>532</v>
      </c>
      <c r="B533" s="4">
        <f>DAY(E533)</f>
        <v>19</v>
      </c>
      <c r="C533" s="4">
        <f>MONTH(E533)</f>
        <v>6</v>
      </c>
      <c r="D533" s="4">
        <f>YEAR(E533)</f>
        <v>2023</v>
      </c>
      <c r="E533" s="3">
        <v>45096</v>
      </c>
      <c r="F533" s="4" t="s">
        <v>563</v>
      </c>
      <c r="G533" s="4" t="s">
        <v>7</v>
      </c>
      <c r="H533" s="4">
        <v>64</v>
      </c>
      <c r="I533" s="4" t="str" cm="1">
        <f t="array" ref="I533">_xlfn.IFS(H533&lt;30, "Young Adult", H533&lt;50, "Adult", H533&gt;=50, "Senior")</f>
        <v>Senior</v>
      </c>
      <c r="J533" s="4" t="s">
        <v>3</v>
      </c>
      <c r="K533" s="4">
        <v>4</v>
      </c>
      <c r="L533" s="16">
        <v>30</v>
      </c>
      <c r="M533" s="16">
        <f xml:space="preserve"> K533 * L533</f>
        <v>120</v>
      </c>
      <c r="N533" s="16">
        <f>M533 * $Q$3</f>
        <v>1.7999999999999998</v>
      </c>
      <c r="O533" s="16">
        <f>M533 * $Q$4</f>
        <v>2.4</v>
      </c>
    </row>
    <row r="534" spans="1:15">
      <c r="A534" s="2">
        <v>533</v>
      </c>
      <c r="B534" s="4">
        <f>DAY(E534)</f>
        <v>16</v>
      </c>
      <c r="C534" s="4">
        <f>MONTH(E534)</f>
        <v>11</v>
      </c>
      <c r="D534" s="4">
        <f>YEAR(E534)</f>
        <v>2023</v>
      </c>
      <c r="E534" s="3">
        <v>45246</v>
      </c>
      <c r="F534" s="4" t="s">
        <v>564</v>
      </c>
      <c r="G534" s="4" t="s">
        <v>8</v>
      </c>
      <c r="H534" s="4">
        <v>19</v>
      </c>
      <c r="I534" s="4" t="str" cm="1">
        <f t="array" ref="I534">_xlfn.IFS(H534&lt;30, "Young Adult", H534&lt;50, "Adult", H534&gt;=50, "Senior")</f>
        <v>Young Adult</v>
      </c>
      <c r="J534" s="4" t="s">
        <v>4</v>
      </c>
      <c r="K534" s="4">
        <v>3</v>
      </c>
      <c r="L534" s="16">
        <v>500</v>
      </c>
      <c r="M534" s="16">
        <f xml:space="preserve"> K534 * L534</f>
        <v>1500</v>
      </c>
      <c r="N534" s="16">
        <f>M534 * $Q$3</f>
        <v>22.5</v>
      </c>
      <c r="O534" s="16">
        <f>M534 * $Q$4</f>
        <v>30</v>
      </c>
    </row>
    <row r="535" spans="1:15">
      <c r="A535" s="2">
        <v>534</v>
      </c>
      <c r="B535" s="4">
        <f>DAY(E535)</f>
        <v>10</v>
      </c>
      <c r="C535" s="4">
        <f>MONTH(E535)</f>
        <v>6</v>
      </c>
      <c r="D535" s="4">
        <f>YEAR(E535)</f>
        <v>2023</v>
      </c>
      <c r="E535" s="3">
        <v>45087</v>
      </c>
      <c r="F535" s="4" t="s">
        <v>565</v>
      </c>
      <c r="G535" s="4" t="s">
        <v>8</v>
      </c>
      <c r="H535" s="4">
        <v>45</v>
      </c>
      <c r="I535" s="4" t="str" cm="1">
        <f t="array" ref="I535">_xlfn.IFS(H535&lt;30, "Young Adult", H535&lt;50, "Adult", H535&gt;=50, "Senior")</f>
        <v>Adult</v>
      </c>
      <c r="J535" s="4" t="s">
        <v>3</v>
      </c>
      <c r="K535" s="4">
        <v>2</v>
      </c>
      <c r="L535" s="16">
        <v>500</v>
      </c>
      <c r="M535" s="16">
        <f xml:space="preserve"> K535 * L535</f>
        <v>1000</v>
      </c>
      <c r="N535" s="16">
        <f>M535 * $Q$3</f>
        <v>15</v>
      </c>
      <c r="O535" s="16">
        <f>M535 * $Q$4</f>
        <v>20</v>
      </c>
    </row>
    <row r="536" spans="1:15">
      <c r="A536" s="2">
        <v>535</v>
      </c>
      <c r="B536" s="4">
        <f>DAY(E536)</f>
        <v>6</v>
      </c>
      <c r="C536" s="4">
        <f>MONTH(E536)</f>
        <v>12</v>
      </c>
      <c r="D536" s="4">
        <f>YEAR(E536)</f>
        <v>2023</v>
      </c>
      <c r="E536" s="3">
        <v>45266</v>
      </c>
      <c r="F536" s="4" t="s">
        <v>566</v>
      </c>
      <c r="G536" s="4" t="s">
        <v>8</v>
      </c>
      <c r="H536" s="4">
        <v>47</v>
      </c>
      <c r="I536" s="4" t="str" cm="1">
        <f t="array" ref="I536">_xlfn.IFS(H536&lt;30, "Young Adult", H536&lt;50, "Adult", H536&gt;=50, "Senior")</f>
        <v>Adult</v>
      </c>
      <c r="J536" s="4" t="s">
        <v>2</v>
      </c>
      <c r="K536" s="4">
        <v>3</v>
      </c>
      <c r="L536" s="16">
        <v>30</v>
      </c>
      <c r="M536" s="16">
        <f xml:space="preserve"> K536 * L536</f>
        <v>90</v>
      </c>
      <c r="N536" s="16">
        <f>M536 * $Q$3</f>
        <v>1.3499999999999999</v>
      </c>
      <c r="O536" s="16">
        <f>M536 * $Q$4</f>
        <v>1.8</v>
      </c>
    </row>
    <row r="537" spans="1:15">
      <c r="A537" s="2">
        <v>536</v>
      </c>
      <c r="B537" s="4">
        <f>DAY(E537)</f>
        <v>5</v>
      </c>
      <c r="C537" s="4">
        <f>MONTH(E537)</f>
        <v>3</v>
      </c>
      <c r="D537" s="4">
        <f>YEAR(E537)</f>
        <v>2023</v>
      </c>
      <c r="E537" s="3">
        <v>44990</v>
      </c>
      <c r="F537" s="4" t="s">
        <v>567</v>
      </c>
      <c r="G537" s="4" t="s">
        <v>7</v>
      </c>
      <c r="H537" s="4">
        <v>55</v>
      </c>
      <c r="I537" s="4" t="str" cm="1">
        <f t="array" ref="I537">_xlfn.IFS(H537&lt;30, "Young Adult", H537&lt;50, "Adult", H537&gt;=50, "Senior")</f>
        <v>Senior</v>
      </c>
      <c r="J537" s="4" t="s">
        <v>2</v>
      </c>
      <c r="K537" s="4">
        <v>4</v>
      </c>
      <c r="L537" s="16">
        <v>30</v>
      </c>
      <c r="M537" s="16">
        <f xml:space="preserve"> K537 * L537</f>
        <v>120</v>
      </c>
      <c r="N537" s="16">
        <f>M537 * $Q$3</f>
        <v>1.7999999999999998</v>
      </c>
      <c r="O537" s="16">
        <f>M537 * $Q$4</f>
        <v>2.4</v>
      </c>
    </row>
    <row r="538" spans="1:15">
      <c r="A538" s="2">
        <v>537</v>
      </c>
      <c r="B538" s="4">
        <f>DAY(E538)</f>
        <v>3</v>
      </c>
      <c r="C538" s="4">
        <f>MONTH(E538)</f>
        <v>6</v>
      </c>
      <c r="D538" s="4">
        <f>YEAR(E538)</f>
        <v>2023</v>
      </c>
      <c r="E538" s="3">
        <v>45080</v>
      </c>
      <c r="F538" s="4" t="s">
        <v>568</v>
      </c>
      <c r="G538" s="4" t="s">
        <v>7</v>
      </c>
      <c r="H538" s="4">
        <v>21</v>
      </c>
      <c r="I538" s="4" t="str" cm="1">
        <f t="array" ref="I538">_xlfn.IFS(H538&lt;30, "Young Adult", H538&lt;50, "Adult", H538&gt;=50, "Senior")</f>
        <v>Young Adult</v>
      </c>
      <c r="J538" s="4" t="s">
        <v>2</v>
      </c>
      <c r="K538" s="4">
        <v>1</v>
      </c>
      <c r="L538" s="16">
        <v>500</v>
      </c>
      <c r="M538" s="16">
        <f xml:space="preserve"> K538 * L538</f>
        <v>500</v>
      </c>
      <c r="N538" s="16">
        <f>M538 * $Q$3</f>
        <v>7.5</v>
      </c>
      <c r="O538" s="16">
        <f>M538 * $Q$4</f>
        <v>10</v>
      </c>
    </row>
    <row r="539" spans="1:15">
      <c r="A539" s="2">
        <v>538</v>
      </c>
      <c r="B539" s="4">
        <f>DAY(E539)</f>
        <v>17</v>
      </c>
      <c r="C539" s="4">
        <f>MONTH(E539)</f>
        <v>9</v>
      </c>
      <c r="D539" s="4">
        <f>YEAR(E539)</f>
        <v>2023</v>
      </c>
      <c r="E539" s="3">
        <v>45186</v>
      </c>
      <c r="F539" s="4" t="s">
        <v>569</v>
      </c>
      <c r="G539" s="4" t="s">
        <v>8</v>
      </c>
      <c r="H539" s="4">
        <v>18</v>
      </c>
      <c r="I539" s="4" t="str" cm="1">
        <f t="array" ref="I539">_xlfn.IFS(H539&lt;30, "Young Adult", H539&lt;50, "Adult", H539&gt;=50, "Senior")</f>
        <v>Young Adult</v>
      </c>
      <c r="J539" s="4" t="s">
        <v>3</v>
      </c>
      <c r="K539" s="4">
        <v>3</v>
      </c>
      <c r="L539" s="16">
        <v>50</v>
      </c>
      <c r="M539" s="16">
        <f xml:space="preserve"> K539 * L539</f>
        <v>150</v>
      </c>
      <c r="N539" s="16">
        <f>M539 * $Q$3</f>
        <v>2.25</v>
      </c>
      <c r="O539" s="16">
        <f>M539 * $Q$4</f>
        <v>3</v>
      </c>
    </row>
    <row r="540" spans="1:15">
      <c r="A540" s="2">
        <v>539</v>
      </c>
      <c r="B540" s="4">
        <f>DAY(E540)</f>
        <v>8</v>
      </c>
      <c r="C540" s="4">
        <f>MONTH(E540)</f>
        <v>6</v>
      </c>
      <c r="D540" s="4">
        <f>YEAR(E540)</f>
        <v>2023</v>
      </c>
      <c r="E540" s="3">
        <v>45085</v>
      </c>
      <c r="F540" s="4" t="s">
        <v>570</v>
      </c>
      <c r="G540" s="4" t="s">
        <v>8</v>
      </c>
      <c r="H540" s="4">
        <v>25</v>
      </c>
      <c r="I540" s="4" t="str" cm="1">
        <f t="array" ref="I540">_xlfn.IFS(H540&lt;30, "Young Adult", H540&lt;50, "Adult", H540&gt;=50, "Senior")</f>
        <v>Young Adult</v>
      </c>
      <c r="J540" s="4" t="s">
        <v>2</v>
      </c>
      <c r="K540" s="4">
        <v>1</v>
      </c>
      <c r="L540" s="16">
        <v>500</v>
      </c>
      <c r="M540" s="16">
        <f xml:space="preserve"> K540 * L540</f>
        <v>500</v>
      </c>
      <c r="N540" s="16">
        <f>M540 * $Q$3</f>
        <v>7.5</v>
      </c>
      <c r="O540" s="16">
        <f>M540 * $Q$4</f>
        <v>10</v>
      </c>
    </row>
    <row r="541" spans="1:15">
      <c r="A541" s="2">
        <v>540</v>
      </c>
      <c r="B541" s="4">
        <f>DAY(E541)</f>
        <v>8</v>
      </c>
      <c r="C541" s="4">
        <f>MONTH(E541)</f>
        <v>12</v>
      </c>
      <c r="D541" s="4">
        <f>YEAR(E541)</f>
        <v>2023</v>
      </c>
      <c r="E541" s="3">
        <v>45268</v>
      </c>
      <c r="F541" s="4" t="s">
        <v>571</v>
      </c>
      <c r="G541" s="4" t="s">
        <v>7</v>
      </c>
      <c r="H541" s="4">
        <v>46</v>
      </c>
      <c r="I541" s="4" t="str" cm="1">
        <f t="array" ref="I541">_xlfn.IFS(H541&lt;30, "Young Adult", H541&lt;50, "Adult", H541&gt;=50, "Senior")</f>
        <v>Adult</v>
      </c>
      <c r="J541" s="4" t="s">
        <v>4</v>
      </c>
      <c r="K541" s="4">
        <v>3</v>
      </c>
      <c r="L541" s="16">
        <v>300</v>
      </c>
      <c r="M541" s="16">
        <f xml:space="preserve"> K541 * L541</f>
        <v>900</v>
      </c>
      <c r="N541" s="16">
        <f>M541 * $Q$3</f>
        <v>13.5</v>
      </c>
      <c r="O541" s="16">
        <f>M541 * $Q$4</f>
        <v>18</v>
      </c>
    </row>
    <row r="542" spans="1:15">
      <c r="A542" s="2">
        <v>541</v>
      </c>
      <c r="B542" s="4">
        <f>DAY(E542)</f>
        <v>29</v>
      </c>
      <c r="C542" s="4">
        <f>MONTH(E542)</f>
        <v>7</v>
      </c>
      <c r="D542" s="4">
        <f>YEAR(E542)</f>
        <v>2023</v>
      </c>
      <c r="E542" s="3">
        <v>45136</v>
      </c>
      <c r="F542" s="4" t="s">
        <v>572</v>
      </c>
      <c r="G542" s="4" t="s">
        <v>8</v>
      </c>
      <c r="H542" s="4">
        <v>56</v>
      </c>
      <c r="I542" s="4" t="str" cm="1">
        <f t="array" ref="I542">_xlfn.IFS(H542&lt;30, "Young Adult", H542&lt;50, "Adult", H542&gt;=50, "Senior")</f>
        <v>Senior</v>
      </c>
      <c r="J542" s="4" t="s">
        <v>2</v>
      </c>
      <c r="K542" s="4">
        <v>1</v>
      </c>
      <c r="L542" s="16">
        <v>500</v>
      </c>
      <c r="M542" s="16">
        <f xml:space="preserve"> K542 * L542</f>
        <v>500</v>
      </c>
      <c r="N542" s="16">
        <f>M542 * $Q$3</f>
        <v>7.5</v>
      </c>
      <c r="O542" s="16">
        <f>M542 * $Q$4</f>
        <v>10</v>
      </c>
    </row>
    <row r="543" spans="1:15">
      <c r="A543" s="2">
        <v>542</v>
      </c>
      <c r="B543" s="4">
        <f>DAY(E543)</f>
        <v>17</v>
      </c>
      <c r="C543" s="4">
        <f>MONTH(E543)</f>
        <v>6</v>
      </c>
      <c r="D543" s="4">
        <f>YEAR(E543)</f>
        <v>2023</v>
      </c>
      <c r="E543" s="3">
        <v>45094</v>
      </c>
      <c r="F543" s="4" t="s">
        <v>573</v>
      </c>
      <c r="G543" s="4" t="s">
        <v>7</v>
      </c>
      <c r="H543" s="4">
        <v>20</v>
      </c>
      <c r="I543" s="4" t="str" cm="1">
        <f t="array" ref="I543">_xlfn.IFS(H543&lt;30, "Young Adult", H543&lt;50, "Adult", H543&gt;=50, "Senior")</f>
        <v>Young Adult</v>
      </c>
      <c r="J543" s="4" t="s">
        <v>2</v>
      </c>
      <c r="K543" s="4">
        <v>1</v>
      </c>
      <c r="L543" s="16">
        <v>50</v>
      </c>
      <c r="M543" s="16">
        <f xml:space="preserve"> K543 * L543</f>
        <v>50</v>
      </c>
      <c r="N543" s="16">
        <f>M543 * $Q$3</f>
        <v>0.75</v>
      </c>
      <c r="O543" s="16">
        <f>M543 * $Q$4</f>
        <v>1</v>
      </c>
    </row>
    <row r="544" spans="1:15">
      <c r="A544" s="2">
        <v>543</v>
      </c>
      <c r="B544" s="4">
        <f>DAY(E544)</f>
        <v>26</v>
      </c>
      <c r="C544" s="4">
        <f>MONTH(E544)</f>
        <v>7</v>
      </c>
      <c r="D544" s="4">
        <f>YEAR(E544)</f>
        <v>2023</v>
      </c>
      <c r="E544" s="3">
        <v>45133</v>
      </c>
      <c r="F544" s="4" t="s">
        <v>574</v>
      </c>
      <c r="G544" s="4" t="s">
        <v>8</v>
      </c>
      <c r="H544" s="4">
        <v>49</v>
      </c>
      <c r="I544" s="4" t="str" cm="1">
        <f t="array" ref="I544">_xlfn.IFS(H544&lt;30, "Young Adult", H544&lt;50, "Adult", H544&gt;=50, "Senior")</f>
        <v>Adult</v>
      </c>
      <c r="J544" s="4" t="s">
        <v>2</v>
      </c>
      <c r="K544" s="4">
        <v>2</v>
      </c>
      <c r="L544" s="16">
        <v>300</v>
      </c>
      <c r="M544" s="16">
        <f xml:space="preserve"> K544 * L544</f>
        <v>600</v>
      </c>
      <c r="N544" s="16">
        <f>M544 * $Q$3</f>
        <v>9</v>
      </c>
      <c r="O544" s="16">
        <f>M544 * $Q$4</f>
        <v>12</v>
      </c>
    </row>
    <row r="545" spans="1:15">
      <c r="A545" s="2">
        <v>544</v>
      </c>
      <c r="B545" s="4">
        <f>DAY(E545)</f>
        <v>23</v>
      </c>
      <c r="C545" s="4">
        <f>MONTH(E545)</f>
        <v>12</v>
      </c>
      <c r="D545" s="4">
        <f>YEAR(E545)</f>
        <v>2023</v>
      </c>
      <c r="E545" s="3">
        <v>45283</v>
      </c>
      <c r="F545" s="4" t="s">
        <v>575</v>
      </c>
      <c r="G545" s="4" t="s">
        <v>7</v>
      </c>
      <c r="H545" s="4">
        <v>27</v>
      </c>
      <c r="I545" s="4" t="str" cm="1">
        <f t="array" ref="I545">_xlfn.IFS(H545&lt;30, "Young Adult", H545&lt;50, "Adult", H545&gt;=50, "Senior")</f>
        <v>Young Adult</v>
      </c>
      <c r="J545" s="4" t="s">
        <v>4</v>
      </c>
      <c r="K545" s="4">
        <v>1</v>
      </c>
      <c r="L545" s="16">
        <v>25</v>
      </c>
      <c r="M545" s="16">
        <f xml:space="preserve"> K545 * L545</f>
        <v>25</v>
      </c>
      <c r="N545" s="16">
        <f>M545 * $Q$3</f>
        <v>0.375</v>
      </c>
      <c r="O545" s="16">
        <f>M545 * $Q$4</f>
        <v>0.5</v>
      </c>
    </row>
    <row r="546" spans="1:15">
      <c r="A546" s="2">
        <v>545</v>
      </c>
      <c r="B546" s="4">
        <f>DAY(E546)</f>
        <v>1</v>
      </c>
      <c r="C546" s="4">
        <f>MONTH(E546)</f>
        <v>6</v>
      </c>
      <c r="D546" s="4">
        <f>YEAR(E546)</f>
        <v>2023</v>
      </c>
      <c r="E546" s="3">
        <v>45078</v>
      </c>
      <c r="F546" s="4" t="s">
        <v>576</v>
      </c>
      <c r="G546" s="4" t="s">
        <v>8</v>
      </c>
      <c r="H546" s="4">
        <v>27</v>
      </c>
      <c r="I546" s="4" t="str" cm="1">
        <f t="array" ref="I546">_xlfn.IFS(H546&lt;30, "Young Adult", H546&lt;50, "Adult", H546&gt;=50, "Senior")</f>
        <v>Young Adult</v>
      </c>
      <c r="J546" s="4" t="s">
        <v>3</v>
      </c>
      <c r="K546" s="4">
        <v>2</v>
      </c>
      <c r="L546" s="16">
        <v>25</v>
      </c>
      <c r="M546" s="16">
        <f xml:space="preserve"> K546 * L546</f>
        <v>50</v>
      </c>
      <c r="N546" s="16">
        <f>M546 * $Q$3</f>
        <v>0.75</v>
      </c>
      <c r="O546" s="16">
        <f>M546 * $Q$4</f>
        <v>1</v>
      </c>
    </row>
    <row r="547" spans="1:15">
      <c r="A547" s="2">
        <v>546</v>
      </c>
      <c r="B547" s="4">
        <f>DAY(E547)</f>
        <v>11</v>
      </c>
      <c r="C547" s="4">
        <f>MONTH(E547)</f>
        <v>10</v>
      </c>
      <c r="D547" s="4">
        <f>YEAR(E547)</f>
        <v>2023</v>
      </c>
      <c r="E547" s="3">
        <v>45210</v>
      </c>
      <c r="F547" s="4" t="s">
        <v>577</v>
      </c>
      <c r="G547" s="4" t="s">
        <v>7</v>
      </c>
      <c r="H547" s="4">
        <v>36</v>
      </c>
      <c r="I547" s="4" t="str" cm="1">
        <f t="array" ref="I547">_xlfn.IFS(H547&lt;30, "Young Adult", H547&lt;50, "Adult", H547&gt;=50, "Senior")</f>
        <v>Adult</v>
      </c>
      <c r="J547" s="4" t="s">
        <v>4</v>
      </c>
      <c r="K547" s="4">
        <v>4</v>
      </c>
      <c r="L547" s="16">
        <v>50</v>
      </c>
      <c r="M547" s="16">
        <f xml:space="preserve"> K547 * L547</f>
        <v>200</v>
      </c>
      <c r="N547" s="16">
        <f>M547 * $Q$3</f>
        <v>3</v>
      </c>
      <c r="O547" s="16">
        <f>M547 * $Q$4</f>
        <v>4</v>
      </c>
    </row>
    <row r="548" spans="1:15">
      <c r="A548" s="2">
        <v>547</v>
      </c>
      <c r="B548" s="4">
        <f>DAY(E548)</f>
        <v>7</v>
      </c>
      <c r="C548" s="4">
        <f>MONTH(E548)</f>
        <v>3</v>
      </c>
      <c r="D548" s="4">
        <f>YEAR(E548)</f>
        <v>2023</v>
      </c>
      <c r="E548" s="3">
        <v>44992</v>
      </c>
      <c r="F548" s="4" t="s">
        <v>578</v>
      </c>
      <c r="G548" s="4" t="s">
        <v>8</v>
      </c>
      <c r="H548" s="4">
        <v>63</v>
      </c>
      <c r="I548" s="4" t="str" cm="1">
        <f t="array" ref="I548">_xlfn.IFS(H548&lt;30, "Young Adult", H548&lt;50, "Adult", H548&gt;=50, "Senior")</f>
        <v>Senior</v>
      </c>
      <c r="J548" s="4" t="s">
        <v>3</v>
      </c>
      <c r="K548" s="4">
        <v>4</v>
      </c>
      <c r="L548" s="16">
        <v>500</v>
      </c>
      <c r="M548" s="16">
        <f xml:space="preserve"> K548 * L548</f>
        <v>2000</v>
      </c>
      <c r="N548" s="16">
        <f>M548 * $Q$3</f>
        <v>30</v>
      </c>
      <c r="O548" s="16">
        <f>M548 * $Q$4</f>
        <v>40</v>
      </c>
    </row>
    <row r="549" spans="1:15">
      <c r="A549" s="2">
        <v>548</v>
      </c>
      <c r="B549" s="4">
        <f>DAY(E549)</f>
        <v>9</v>
      </c>
      <c r="C549" s="4">
        <f>MONTH(E549)</f>
        <v>4</v>
      </c>
      <c r="D549" s="4">
        <f>YEAR(E549)</f>
        <v>2023</v>
      </c>
      <c r="E549" s="3">
        <v>45025</v>
      </c>
      <c r="F549" s="4" t="s">
        <v>579</v>
      </c>
      <c r="G549" s="4" t="s">
        <v>7</v>
      </c>
      <c r="H549" s="4">
        <v>51</v>
      </c>
      <c r="I549" s="4" t="str" cm="1">
        <f t="array" ref="I549">_xlfn.IFS(H549&lt;30, "Young Adult", H549&lt;50, "Adult", H549&gt;=50, "Senior")</f>
        <v>Senior</v>
      </c>
      <c r="J549" s="4" t="s">
        <v>3</v>
      </c>
      <c r="K549" s="4">
        <v>2</v>
      </c>
      <c r="L549" s="16">
        <v>30</v>
      </c>
      <c r="M549" s="16">
        <f xml:space="preserve"> K549 * L549</f>
        <v>60</v>
      </c>
      <c r="N549" s="16">
        <f>M549 * $Q$3</f>
        <v>0.89999999999999991</v>
      </c>
      <c r="O549" s="16">
        <f>M549 * $Q$4</f>
        <v>1.2</v>
      </c>
    </row>
    <row r="550" spans="1:15">
      <c r="A550" s="2">
        <v>549</v>
      </c>
      <c r="B550" s="4">
        <f>DAY(E550)</f>
        <v>4</v>
      </c>
      <c r="C550" s="4">
        <f>MONTH(E550)</f>
        <v>8</v>
      </c>
      <c r="D550" s="4">
        <f>YEAR(E550)</f>
        <v>2023</v>
      </c>
      <c r="E550" s="3">
        <v>45142</v>
      </c>
      <c r="F550" s="4" t="s">
        <v>580</v>
      </c>
      <c r="G550" s="4" t="s">
        <v>7</v>
      </c>
      <c r="H550" s="4">
        <v>50</v>
      </c>
      <c r="I550" s="4" t="str" cm="1">
        <f t="array" ref="I550">_xlfn.IFS(H550&lt;30, "Young Adult", H550&lt;50, "Adult", H550&gt;=50, "Senior")</f>
        <v>Senior</v>
      </c>
      <c r="J550" s="4" t="s">
        <v>2</v>
      </c>
      <c r="K550" s="4">
        <v>2</v>
      </c>
      <c r="L550" s="16">
        <v>50</v>
      </c>
      <c r="M550" s="16">
        <f xml:space="preserve"> K550 * L550</f>
        <v>100</v>
      </c>
      <c r="N550" s="16">
        <f>M550 * $Q$3</f>
        <v>1.5</v>
      </c>
      <c r="O550" s="16">
        <f>M550 * $Q$4</f>
        <v>2</v>
      </c>
    </row>
    <row r="551" spans="1:15">
      <c r="A551" s="2">
        <v>550</v>
      </c>
      <c r="B551" s="4">
        <f>DAY(E551)</f>
        <v>7</v>
      </c>
      <c r="C551" s="4">
        <f>MONTH(E551)</f>
        <v>12</v>
      </c>
      <c r="D551" s="4">
        <f>YEAR(E551)</f>
        <v>2023</v>
      </c>
      <c r="E551" s="3">
        <v>45267</v>
      </c>
      <c r="F551" s="4" t="s">
        <v>581</v>
      </c>
      <c r="G551" s="4" t="s">
        <v>8</v>
      </c>
      <c r="H551" s="4">
        <v>40</v>
      </c>
      <c r="I551" s="4" t="str" cm="1">
        <f t="array" ref="I551">_xlfn.IFS(H551&lt;30, "Young Adult", H551&lt;50, "Adult", H551&gt;=50, "Senior")</f>
        <v>Adult</v>
      </c>
      <c r="J551" s="4" t="s">
        <v>3</v>
      </c>
      <c r="K551" s="4">
        <v>3</v>
      </c>
      <c r="L551" s="16">
        <v>300</v>
      </c>
      <c r="M551" s="16">
        <f xml:space="preserve"> K551 * L551</f>
        <v>900</v>
      </c>
      <c r="N551" s="16">
        <f>M551 * $Q$3</f>
        <v>13.5</v>
      </c>
      <c r="O551" s="16">
        <f>M551 * $Q$4</f>
        <v>18</v>
      </c>
    </row>
    <row r="552" spans="1:15">
      <c r="A552" s="2">
        <v>551</v>
      </c>
      <c r="B552" s="4">
        <f>DAY(E552)</f>
        <v>14</v>
      </c>
      <c r="C552" s="4">
        <f>MONTH(E552)</f>
        <v>7</v>
      </c>
      <c r="D552" s="4">
        <f>YEAR(E552)</f>
        <v>2023</v>
      </c>
      <c r="E552" s="3">
        <v>45121</v>
      </c>
      <c r="F552" s="4" t="s">
        <v>582</v>
      </c>
      <c r="G552" s="4" t="s">
        <v>8</v>
      </c>
      <c r="H552" s="4">
        <v>45</v>
      </c>
      <c r="I552" s="4" t="str" cm="1">
        <f t="array" ref="I552">_xlfn.IFS(H552&lt;30, "Young Adult", H552&lt;50, "Adult", H552&gt;=50, "Senior")</f>
        <v>Adult</v>
      </c>
      <c r="J552" s="4" t="s">
        <v>4</v>
      </c>
      <c r="K552" s="4">
        <v>3</v>
      </c>
      <c r="L552" s="16">
        <v>300</v>
      </c>
      <c r="M552" s="16">
        <f xml:space="preserve"> K552 * L552</f>
        <v>900</v>
      </c>
      <c r="N552" s="16">
        <f>M552 * $Q$3</f>
        <v>13.5</v>
      </c>
      <c r="O552" s="16">
        <f>M552 * $Q$4</f>
        <v>18</v>
      </c>
    </row>
    <row r="553" spans="1:15">
      <c r="A553" s="2">
        <v>552</v>
      </c>
      <c r="B553" s="4">
        <f>DAY(E553)</f>
        <v>13</v>
      </c>
      <c r="C553" s="4">
        <f>MONTH(E553)</f>
        <v>12</v>
      </c>
      <c r="D553" s="4">
        <f>YEAR(E553)</f>
        <v>2023</v>
      </c>
      <c r="E553" s="3">
        <v>45273</v>
      </c>
      <c r="F553" s="4" t="s">
        <v>583</v>
      </c>
      <c r="G553" s="4" t="s">
        <v>7</v>
      </c>
      <c r="H553" s="4">
        <v>49</v>
      </c>
      <c r="I553" s="4" t="str" cm="1">
        <f t="array" ref="I553">_xlfn.IFS(H553&lt;30, "Young Adult", H553&lt;50, "Adult", H553&gt;=50, "Senior")</f>
        <v>Adult</v>
      </c>
      <c r="J553" s="4" t="s">
        <v>4</v>
      </c>
      <c r="K553" s="4">
        <v>3</v>
      </c>
      <c r="L553" s="16">
        <v>25</v>
      </c>
      <c r="M553" s="16">
        <f xml:space="preserve"> K553 * L553</f>
        <v>75</v>
      </c>
      <c r="N553" s="16">
        <f>M553 * $Q$3</f>
        <v>1.125</v>
      </c>
      <c r="O553" s="16">
        <f>M553 * $Q$4</f>
        <v>1.5</v>
      </c>
    </row>
    <row r="554" spans="1:15">
      <c r="A554" s="2">
        <v>553</v>
      </c>
      <c r="B554" s="4">
        <f>DAY(E554)</f>
        <v>31</v>
      </c>
      <c r="C554" s="4">
        <f>MONTH(E554)</f>
        <v>3</v>
      </c>
      <c r="D554" s="4">
        <f>YEAR(E554)</f>
        <v>2023</v>
      </c>
      <c r="E554" s="3">
        <v>45016</v>
      </c>
      <c r="F554" s="4" t="s">
        <v>584</v>
      </c>
      <c r="G554" s="4" t="s">
        <v>8</v>
      </c>
      <c r="H554" s="4">
        <v>24</v>
      </c>
      <c r="I554" s="4" t="str" cm="1">
        <f t="array" ref="I554">_xlfn.IFS(H554&lt;30, "Young Adult", H554&lt;50, "Adult", H554&gt;=50, "Senior")</f>
        <v>Young Adult</v>
      </c>
      <c r="J554" s="4" t="s">
        <v>3</v>
      </c>
      <c r="K554" s="4">
        <v>4</v>
      </c>
      <c r="L554" s="16">
        <v>300</v>
      </c>
      <c r="M554" s="16">
        <f xml:space="preserve"> K554 * L554</f>
        <v>1200</v>
      </c>
      <c r="N554" s="16">
        <f>M554 * $Q$3</f>
        <v>18</v>
      </c>
      <c r="O554" s="16">
        <f>M554 * $Q$4</f>
        <v>24</v>
      </c>
    </row>
    <row r="555" spans="1:15">
      <c r="A555" s="2">
        <v>554</v>
      </c>
      <c r="B555" s="4">
        <f>DAY(E555)</f>
        <v>12</v>
      </c>
      <c r="C555" s="4">
        <f>MONTH(E555)</f>
        <v>11</v>
      </c>
      <c r="D555" s="4">
        <f>YEAR(E555)</f>
        <v>2023</v>
      </c>
      <c r="E555" s="3">
        <v>45242</v>
      </c>
      <c r="F555" s="4" t="s">
        <v>585</v>
      </c>
      <c r="G555" s="4" t="s">
        <v>7</v>
      </c>
      <c r="H555" s="4">
        <v>46</v>
      </c>
      <c r="I555" s="4" t="str" cm="1">
        <f t="array" ref="I555">_xlfn.IFS(H555&lt;30, "Young Adult", H555&lt;50, "Adult", H555&gt;=50, "Senior")</f>
        <v>Adult</v>
      </c>
      <c r="J555" s="4" t="s">
        <v>2</v>
      </c>
      <c r="K555" s="4">
        <v>3</v>
      </c>
      <c r="L555" s="16">
        <v>50</v>
      </c>
      <c r="M555" s="16">
        <f xml:space="preserve"> K555 * L555</f>
        <v>150</v>
      </c>
      <c r="N555" s="16">
        <f>M555 * $Q$3</f>
        <v>2.25</v>
      </c>
      <c r="O555" s="16">
        <f>M555 * $Q$4</f>
        <v>3</v>
      </c>
    </row>
    <row r="556" spans="1:15">
      <c r="A556" s="2">
        <v>555</v>
      </c>
      <c r="B556" s="4">
        <f>DAY(E556)</f>
        <v>19</v>
      </c>
      <c r="C556" s="4">
        <f>MONTH(E556)</f>
        <v>10</v>
      </c>
      <c r="D556" s="4">
        <f>YEAR(E556)</f>
        <v>2023</v>
      </c>
      <c r="E556" s="3">
        <v>45218</v>
      </c>
      <c r="F556" s="4" t="s">
        <v>586</v>
      </c>
      <c r="G556" s="4" t="s">
        <v>8</v>
      </c>
      <c r="H556" s="4">
        <v>25</v>
      </c>
      <c r="I556" s="4" t="str" cm="1">
        <f t="array" ref="I556">_xlfn.IFS(H556&lt;30, "Young Adult", H556&lt;50, "Adult", H556&gt;=50, "Senior")</f>
        <v>Young Adult</v>
      </c>
      <c r="J556" s="4" t="s">
        <v>2</v>
      </c>
      <c r="K556" s="4">
        <v>1</v>
      </c>
      <c r="L556" s="16">
        <v>300</v>
      </c>
      <c r="M556" s="16">
        <f xml:space="preserve"> K556 * L556</f>
        <v>300</v>
      </c>
      <c r="N556" s="16">
        <f>M556 * $Q$3</f>
        <v>4.5</v>
      </c>
      <c r="O556" s="16">
        <f>M556 * $Q$4</f>
        <v>6</v>
      </c>
    </row>
    <row r="557" spans="1:15">
      <c r="A557" s="2">
        <v>556</v>
      </c>
      <c r="B557" s="4">
        <f>DAY(E557)</f>
        <v>4</v>
      </c>
      <c r="C557" s="4">
        <f>MONTH(E557)</f>
        <v>6</v>
      </c>
      <c r="D557" s="4">
        <f>YEAR(E557)</f>
        <v>2023</v>
      </c>
      <c r="E557" s="3">
        <v>45081</v>
      </c>
      <c r="F557" s="4" t="s">
        <v>587</v>
      </c>
      <c r="G557" s="4" t="s">
        <v>7</v>
      </c>
      <c r="H557" s="4">
        <v>18</v>
      </c>
      <c r="I557" s="4" t="str" cm="1">
        <f t="array" ref="I557">_xlfn.IFS(H557&lt;30, "Young Adult", H557&lt;50, "Adult", H557&gt;=50, "Senior")</f>
        <v>Young Adult</v>
      </c>
      <c r="J557" s="4" t="s">
        <v>4</v>
      </c>
      <c r="K557" s="4">
        <v>1</v>
      </c>
      <c r="L557" s="16">
        <v>50</v>
      </c>
      <c r="M557" s="16">
        <f xml:space="preserve"> K557 * L557</f>
        <v>50</v>
      </c>
      <c r="N557" s="16">
        <f>M557 * $Q$3</f>
        <v>0.75</v>
      </c>
      <c r="O557" s="16">
        <f>M557 * $Q$4</f>
        <v>1</v>
      </c>
    </row>
    <row r="558" spans="1:15">
      <c r="A558" s="2">
        <v>557</v>
      </c>
      <c r="B558" s="4">
        <f>DAY(E558)</f>
        <v>27</v>
      </c>
      <c r="C558" s="4">
        <f>MONTH(E558)</f>
        <v>7</v>
      </c>
      <c r="D558" s="4">
        <f>YEAR(E558)</f>
        <v>2023</v>
      </c>
      <c r="E558" s="3">
        <v>45134</v>
      </c>
      <c r="F558" s="4" t="s">
        <v>588</v>
      </c>
      <c r="G558" s="4" t="s">
        <v>7</v>
      </c>
      <c r="H558" s="4">
        <v>20</v>
      </c>
      <c r="I558" s="4" t="str" cm="1">
        <f t="array" ref="I558">_xlfn.IFS(H558&lt;30, "Young Adult", H558&lt;50, "Adult", H558&gt;=50, "Senior")</f>
        <v>Young Adult</v>
      </c>
      <c r="J558" s="4" t="s">
        <v>2</v>
      </c>
      <c r="K558" s="4">
        <v>3</v>
      </c>
      <c r="L558" s="16">
        <v>30</v>
      </c>
      <c r="M558" s="16">
        <f xml:space="preserve"> K558 * L558</f>
        <v>90</v>
      </c>
      <c r="N558" s="16">
        <f>M558 * $Q$3</f>
        <v>1.3499999999999999</v>
      </c>
      <c r="O558" s="16">
        <f>M558 * $Q$4</f>
        <v>1.8</v>
      </c>
    </row>
    <row r="559" spans="1:15">
      <c r="A559" s="2">
        <v>558</v>
      </c>
      <c r="B559" s="4">
        <f>DAY(E559)</f>
        <v>8</v>
      </c>
      <c r="C559" s="4">
        <f>MONTH(E559)</f>
        <v>10</v>
      </c>
      <c r="D559" s="4">
        <f>YEAR(E559)</f>
        <v>2023</v>
      </c>
      <c r="E559" s="3">
        <v>45207</v>
      </c>
      <c r="F559" s="4" t="s">
        <v>589</v>
      </c>
      <c r="G559" s="4" t="s">
        <v>7</v>
      </c>
      <c r="H559" s="4">
        <v>41</v>
      </c>
      <c r="I559" s="4" t="str" cm="1">
        <f t="array" ref="I559">_xlfn.IFS(H559&lt;30, "Young Adult", H559&lt;50, "Adult", H559&gt;=50, "Senior")</f>
        <v>Adult</v>
      </c>
      <c r="J559" s="4" t="s">
        <v>3</v>
      </c>
      <c r="K559" s="4">
        <v>1</v>
      </c>
      <c r="L559" s="16">
        <v>25</v>
      </c>
      <c r="M559" s="16">
        <f xml:space="preserve"> K559 * L559</f>
        <v>25</v>
      </c>
      <c r="N559" s="16">
        <f>M559 * $Q$3</f>
        <v>0.375</v>
      </c>
      <c r="O559" s="16">
        <f>M559 * $Q$4</f>
        <v>0.5</v>
      </c>
    </row>
    <row r="560" spans="1:15">
      <c r="A560" s="2">
        <v>559</v>
      </c>
      <c r="B560" s="4">
        <f>DAY(E560)</f>
        <v>1</v>
      </c>
      <c r="C560" s="4">
        <f>MONTH(E560)</f>
        <v>1</v>
      </c>
      <c r="D560" s="4">
        <f>YEAR(E560)</f>
        <v>2023</v>
      </c>
      <c r="E560" s="3">
        <v>44927</v>
      </c>
      <c r="F560" s="4" t="s">
        <v>590</v>
      </c>
      <c r="G560" s="4" t="s">
        <v>7</v>
      </c>
      <c r="H560" s="4">
        <v>40</v>
      </c>
      <c r="I560" s="4" t="str" cm="1">
        <f t="array" ref="I560">_xlfn.IFS(H560&lt;30, "Young Adult", H560&lt;50, "Adult", H560&gt;=50, "Senior")</f>
        <v>Adult</v>
      </c>
      <c r="J560" s="4" t="s">
        <v>3</v>
      </c>
      <c r="K560" s="4">
        <v>4</v>
      </c>
      <c r="L560" s="16">
        <v>300</v>
      </c>
      <c r="M560" s="16">
        <f xml:space="preserve"> K560 * L560</f>
        <v>1200</v>
      </c>
      <c r="N560" s="16">
        <f>M560 * $Q$3</f>
        <v>18</v>
      </c>
      <c r="O560" s="16">
        <f>M560 * $Q$4</f>
        <v>24</v>
      </c>
    </row>
    <row r="561" spans="1:15">
      <c r="A561" s="2">
        <v>560</v>
      </c>
      <c r="B561" s="4">
        <f>DAY(E561)</f>
        <v>5</v>
      </c>
      <c r="C561" s="4">
        <f>MONTH(E561)</f>
        <v>6</v>
      </c>
      <c r="D561" s="4">
        <f>YEAR(E561)</f>
        <v>2023</v>
      </c>
      <c r="E561" s="3">
        <v>45082</v>
      </c>
      <c r="F561" s="4" t="s">
        <v>591</v>
      </c>
      <c r="G561" s="4" t="s">
        <v>7</v>
      </c>
      <c r="H561" s="4">
        <v>25</v>
      </c>
      <c r="I561" s="4" t="str" cm="1">
        <f t="array" ref="I561">_xlfn.IFS(H561&lt;30, "Young Adult", H561&lt;50, "Adult", H561&gt;=50, "Senior")</f>
        <v>Young Adult</v>
      </c>
      <c r="J561" s="4" t="s">
        <v>4</v>
      </c>
      <c r="K561" s="4">
        <v>1</v>
      </c>
      <c r="L561" s="16">
        <v>50</v>
      </c>
      <c r="M561" s="16">
        <f xml:space="preserve"> K561 * L561</f>
        <v>50</v>
      </c>
      <c r="N561" s="16">
        <f>M561 * $Q$3</f>
        <v>0.75</v>
      </c>
      <c r="O561" s="16">
        <f>M561 * $Q$4</f>
        <v>1</v>
      </c>
    </row>
    <row r="562" spans="1:15">
      <c r="A562" s="2">
        <v>561</v>
      </c>
      <c r="B562" s="4">
        <f>DAY(E562)</f>
        <v>27</v>
      </c>
      <c r="C562" s="4">
        <f>MONTH(E562)</f>
        <v>5</v>
      </c>
      <c r="D562" s="4">
        <f>YEAR(E562)</f>
        <v>2023</v>
      </c>
      <c r="E562" s="3">
        <v>45073</v>
      </c>
      <c r="F562" s="4" t="s">
        <v>592</v>
      </c>
      <c r="G562" s="4" t="s">
        <v>7</v>
      </c>
      <c r="H562" s="4">
        <v>64</v>
      </c>
      <c r="I562" s="4" t="str" cm="1">
        <f t="array" ref="I562">_xlfn.IFS(H562&lt;30, "Young Adult", H562&lt;50, "Adult", H562&gt;=50, "Senior")</f>
        <v>Senior</v>
      </c>
      <c r="J562" s="4" t="s">
        <v>3</v>
      </c>
      <c r="K562" s="4">
        <v>4</v>
      </c>
      <c r="L562" s="16">
        <v>500</v>
      </c>
      <c r="M562" s="16">
        <f xml:space="preserve"> K562 * L562</f>
        <v>2000</v>
      </c>
      <c r="N562" s="16">
        <f>M562 * $Q$3</f>
        <v>30</v>
      </c>
      <c r="O562" s="16">
        <f>M562 * $Q$4</f>
        <v>40</v>
      </c>
    </row>
    <row r="563" spans="1:15">
      <c r="A563" s="2">
        <v>562</v>
      </c>
      <c r="B563" s="4">
        <f>DAY(E563)</f>
        <v>18</v>
      </c>
      <c r="C563" s="4">
        <f>MONTH(E563)</f>
        <v>4</v>
      </c>
      <c r="D563" s="4">
        <f>YEAR(E563)</f>
        <v>2023</v>
      </c>
      <c r="E563" s="3">
        <v>45034</v>
      </c>
      <c r="F563" s="4" t="s">
        <v>593</v>
      </c>
      <c r="G563" s="4" t="s">
        <v>8</v>
      </c>
      <c r="H563" s="4">
        <v>54</v>
      </c>
      <c r="I563" s="4" t="str" cm="1">
        <f t="array" ref="I563">_xlfn.IFS(H563&lt;30, "Young Adult", H563&lt;50, "Adult", H563&gt;=50, "Senior")</f>
        <v>Senior</v>
      </c>
      <c r="J563" s="4" t="s">
        <v>4</v>
      </c>
      <c r="K563" s="4">
        <v>2</v>
      </c>
      <c r="L563" s="16">
        <v>25</v>
      </c>
      <c r="M563" s="16">
        <f xml:space="preserve"> K563 * L563</f>
        <v>50</v>
      </c>
      <c r="N563" s="16">
        <f>M563 * $Q$3</f>
        <v>0.75</v>
      </c>
      <c r="O563" s="16">
        <f>M563 * $Q$4</f>
        <v>1</v>
      </c>
    </row>
    <row r="564" spans="1:15">
      <c r="A564" s="2">
        <v>563</v>
      </c>
      <c r="B564" s="4">
        <f>DAY(E564)</f>
        <v>9</v>
      </c>
      <c r="C564" s="4">
        <f>MONTH(E564)</f>
        <v>8</v>
      </c>
      <c r="D564" s="4">
        <f>YEAR(E564)</f>
        <v>2023</v>
      </c>
      <c r="E564" s="3">
        <v>45147</v>
      </c>
      <c r="F564" s="4" t="s">
        <v>594</v>
      </c>
      <c r="G564" s="4" t="s">
        <v>8</v>
      </c>
      <c r="H564" s="4">
        <v>20</v>
      </c>
      <c r="I564" s="4" t="str" cm="1">
        <f t="array" ref="I564">_xlfn.IFS(H564&lt;30, "Young Adult", H564&lt;50, "Adult", H564&gt;=50, "Senior")</f>
        <v>Young Adult</v>
      </c>
      <c r="J564" s="4" t="s">
        <v>3</v>
      </c>
      <c r="K564" s="4">
        <v>2</v>
      </c>
      <c r="L564" s="16">
        <v>30</v>
      </c>
      <c r="M564" s="16">
        <f xml:space="preserve"> K564 * L564</f>
        <v>60</v>
      </c>
      <c r="N564" s="16">
        <f>M564 * $Q$3</f>
        <v>0.89999999999999991</v>
      </c>
      <c r="O564" s="16">
        <f>M564 * $Q$4</f>
        <v>1.2</v>
      </c>
    </row>
    <row r="565" spans="1:15">
      <c r="A565" s="2">
        <v>564</v>
      </c>
      <c r="B565" s="4">
        <f>DAY(E565)</f>
        <v>24</v>
      </c>
      <c r="C565" s="4">
        <f>MONTH(E565)</f>
        <v>10</v>
      </c>
      <c r="D565" s="4">
        <f>YEAR(E565)</f>
        <v>2023</v>
      </c>
      <c r="E565" s="3">
        <v>45223</v>
      </c>
      <c r="F565" s="4" t="s">
        <v>595</v>
      </c>
      <c r="G565" s="4" t="s">
        <v>8</v>
      </c>
      <c r="H565" s="4">
        <v>50</v>
      </c>
      <c r="I565" s="4" t="str" cm="1">
        <f t="array" ref="I565">_xlfn.IFS(H565&lt;30, "Young Adult", H565&lt;50, "Adult", H565&gt;=50, "Senior")</f>
        <v>Senior</v>
      </c>
      <c r="J565" s="4" t="s">
        <v>4</v>
      </c>
      <c r="K565" s="4">
        <v>2</v>
      </c>
      <c r="L565" s="16">
        <v>50</v>
      </c>
      <c r="M565" s="16">
        <f xml:space="preserve"> K565 * L565</f>
        <v>100</v>
      </c>
      <c r="N565" s="16">
        <f>M565 * $Q$3</f>
        <v>1.5</v>
      </c>
      <c r="O565" s="16">
        <f>M565 * $Q$4</f>
        <v>2</v>
      </c>
    </row>
    <row r="566" spans="1:15">
      <c r="A566" s="2">
        <v>565</v>
      </c>
      <c r="B566" s="4">
        <f>DAY(E566)</f>
        <v>7</v>
      </c>
      <c r="C566" s="4">
        <f>MONTH(E566)</f>
        <v>11</v>
      </c>
      <c r="D566" s="4">
        <f>YEAR(E566)</f>
        <v>2023</v>
      </c>
      <c r="E566" s="3">
        <v>45237</v>
      </c>
      <c r="F566" s="4" t="s">
        <v>596</v>
      </c>
      <c r="G566" s="4" t="s">
        <v>7</v>
      </c>
      <c r="H566" s="4">
        <v>45</v>
      </c>
      <c r="I566" s="4" t="str" cm="1">
        <f t="array" ref="I566">_xlfn.IFS(H566&lt;30, "Young Adult", H566&lt;50, "Adult", H566&gt;=50, "Senior")</f>
        <v>Adult</v>
      </c>
      <c r="J566" s="4" t="s">
        <v>2</v>
      </c>
      <c r="K566" s="4">
        <v>2</v>
      </c>
      <c r="L566" s="16">
        <v>30</v>
      </c>
      <c r="M566" s="16">
        <f xml:space="preserve"> K566 * L566</f>
        <v>60</v>
      </c>
      <c r="N566" s="16">
        <f>M566 * $Q$3</f>
        <v>0.89999999999999991</v>
      </c>
      <c r="O566" s="16">
        <f>M566 * $Q$4</f>
        <v>1.2</v>
      </c>
    </row>
    <row r="567" spans="1:15">
      <c r="A567" s="2">
        <v>566</v>
      </c>
      <c r="B567" s="4">
        <f>DAY(E567)</f>
        <v>2</v>
      </c>
      <c r="C567" s="4">
        <f>MONTH(E567)</f>
        <v>12</v>
      </c>
      <c r="D567" s="4">
        <f>YEAR(E567)</f>
        <v>2023</v>
      </c>
      <c r="E567" s="3">
        <v>45262</v>
      </c>
      <c r="F567" s="4" t="s">
        <v>597</v>
      </c>
      <c r="G567" s="4" t="s">
        <v>7</v>
      </c>
      <c r="H567" s="4">
        <v>64</v>
      </c>
      <c r="I567" s="4" t="str" cm="1">
        <f t="array" ref="I567">_xlfn.IFS(H567&lt;30, "Young Adult", H567&lt;50, "Adult", H567&gt;=50, "Senior")</f>
        <v>Senior</v>
      </c>
      <c r="J567" s="4" t="s">
        <v>3</v>
      </c>
      <c r="K567" s="4">
        <v>1</v>
      </c>
      <c r="L567" s="16">
        <v>30</v>
      </c>
      <c r="M567" s="16">
        <f xml:space="preserve"> K567 * L567</f>
        <v>30</v>
      </c>
      <c r="N567" s="16">
        <f>M567 * $Q$3</f>
        <v>0.44999999999999996</v>
      </c>
      <c r="O567" s="16">
        <f>M567 * $Q$4</f>
        <v>0.6</v>
      </c>
    </row>
    <row r="568" spans="1:15">
      <c r="A568" s="2">
        <v>567</v>
      </c>
      <c r="B568" s="4">
        <f>DAY(E568)</f>
        <v>14</v>
      </c>
      <c r="C568" s="4">
        <f>MONTH(E568)</f>
        <v>6</v>
      </c>
      <c r="D568" s="4">
        <f>YEAR(E568)</f>
        <v>2023</v>
      </c>
      <c r="E568" s="3">
        <v>45091</v>
      </c>
      <c r="F568" s="4" t="s">
        <v>598</v>
      </c>
      <c r="G568" s="4" t="s">
        <v>7</v>
      </c>
      <c r="H568" s="4">
        <v>25</v>
      </c>
      <c r="I568" s="4" t="str" cm="1">
        <f t="array" ref="I568">_xlfn.IFS(H568&lt;30, "Young Adult", H568&lt;50, "Adult", H568&gt;=50, "Senior")</f>
        <v>Young Adult</v>
      </c>
      <c r="J568" s="4" t="s">
        <v>3</v>
      </c>
      <c r="K568" s="4">
        <v>3</v>
      </c>
      <c r="L568" s="16">
        <v>300</v>
      </c>
      <c r="M568" s="16">
        <f xml:space="preserve"> K568 * L568</f>
        <v>900</v>
      </c>
      <c r="N568" s="16">
        <f>M568 * $Q$3</f>
        <v>13.5</v>
      </c>
      <c r="O568" s="16">
        <f>M568 * $Q$4</f>
        <v>18</v>
      </c>
    </row>
    <row r="569" spans="1:15">
      <c r="A569" s="2">
        <v>568</v>
      </c>
      <c r="B569" s="4">
        <f>DAY(E569)</f>
        <v>27</v>
      </c>
      <c r="C569" s="4">
        <f>MONTH(E569)</f>
        <v>8</v>
      </c>
      <c r="D569" s="4">
        <f>YEAR(E569)</f>
        <v>2023</v>
      </c>
      <c r="E569" s="3">
        <v>45165</v>
      </c>
      <c r="F569" s="4" t="s">
        <v>599</v>
      </c>
      <c r="G569" s="4" t="s">
        <v>7</v>
      </c>
      <c r="H569" s="4">
        <v>51</v>
      </c>
      <c r="I569" s="4" t="str" cm="1">
        <f t="array" ref="I569">_xlfn.IFS(H569&lt;30, "Young Adult", H569&lt;50, "Adult", H569&gt;=50, "Senior")</f>
        <v>Senior</v>
      </c>
      <c r="J569" s="4" t="s">
        <v>4</v>
      </c>
      <c r="K569" s="4">
        <v>1</v>
      </c>
      <c r="L569" s="16">
        <v>300</v>
      </c>
      <c r="M569" s="16">
        <f xml:space="preserve"> K569 * L569</f>
        <v>300</v>
      </c>
      <c r="N569" s="16">
        <f>M569 * $Q$3</f>
        <v>4.5</v>
      </c>
      <c r="O569" s="16">
        <f>M569 * $Q$4</f>
        <v>6</v>
      </c>
    </row>
    <row r="570" spans="1:15">
      <c r="A570" s="2">
        <v>569</v>
      </c>
      <c r="B570" s="4">
        <f>DAY(E570)</f>
        <v>15</v>
      </c>
      <c r="C570" s="4">
        <f>MONTH(E570)</f>
        <v>8</v>
      </c>
      <c r="D570" s="4">
        <f>YEAR(E570)</f>
        <v>2023</v>
      </c>
      <c r="E570" s="3">
        <v>45153</v>
      </c>
      <c r="F570" s="4" t="s">
        <v>600</v>
      </c>
      <c r="G570" s="4" t="s">
        <v>8</v>
      </c>
      <c r="H570" s="4">
        <v>52</v>
      </c>
      <c r="I570" s="4" t="str" cm="1">
        <f t="array" ref="I570">_xlfn.IFS(H570&lt;30, "Young Adult", H570&lt;50, "Adult", H570&gt;=50, "Senior")</f>
        <v>Senior</v>
      </c>
      <c r="J570" s="4" t="s">
        <v>4</v>
      </c>
      <c r="K570" s="4">
        <v>4</v>
      </c>
      <c r="L570" s="16">
        <v>50</v>
      </c>
      <c r="M570" s="16">
        <f xml:space="preserve"> K570 * L570</f>
        <v>200</v>
      </c>
      <c r="N570" s="16">
        <f>M570 * $Q$3</f>
        <v>3</v>
      </c>
      <c r="O570" s="16">
        <f>M570 * $Q$4</f>
        <v>4</v>
      </c>
    </row>
    <row r="571" spans="1:15">
      <c r="A571" s="2">
        <v>570</v>
      </c>
      <c r="B571" s="4">
        <f>DAY(E571)</f>
        <v>15</v>
      </c>
      <c r="C571" s="4">
        <f>MONTH(E571)</f>
        <v>8</v>
      </c>
      <c r="D571" s="4">
        <f>YEAR(E571)</f>
        <v>2023</v>
      </c>
      <c r="E571" s="3">
        <v>45153</v>
      </c>
      <c r="F571" s="4" t="s">
        <v>601</v>
      </c>
      <c r="G571" s="4" t="s">
        <v>8</v>
      </c>
      <c r="H571" s="4">
        <v>49</v>
      </c>
      <c r="I571" s="4" t="str" cm="1">
        <f t="array" ref="I571">_xlfn.IFS(H571&lt;30, "Young Adult", H571&lt;50, "Adult", H571&gt;=50, "Senior")</f>
        <v>Adult</v>
      </c>
      <c r="J571" s="4" t="s">
        <v>3</v>
      </c>
      <c r="K571" s="4">
        <v>1</v>
      </c>
      <c r="L571" s="16">
        <v>500</v>
      </c>
      <c r="M571" s="16">
        <f xml:space="preserve"> K571 * L571</f>
        <v>500</v>
      </c>
      <c r="N571" s="16">
        <f>M571 * $Q$3</f>
        <v>7.5</v>
      </c>
      <c r="O571" s="16">
        <f>M571 * $Q$4</f>
        <v>10</v>
      </c>
    </row>
    <row r="572" spans="1:15">
      <c r="A572" s="2">
        <v>571</v>
      </c>
      <c r="B572" s="4">
        <f>DAY(E572)</f>
        <v>12</v>
      </c>
      <c r="C572" s="4">
        <f>MONTH(E572)</f>
        <v>12</v>
      </c>
      <c r="D572" s="4">
        <f>YEAR(E572)</f>
        <v>2023</v>
      </c>
      <c r="E572" s="3">
        <v>45272</v>
      </c>
      <c r="F572" s="4" t="s">
        <v>602</v>
      </c>
      <c r="G572" s="4" t="s">
        <v>7</v>
      </c>
      <c r="H572" s="4">
        <v>41</v>
      </c>
      <c r="I572" s="4" t="str" cm="1">
        <f t="array" ref="I572">_xlfn.IFS(H572&lt;30, "Young Adult", H572&lt;50, "Adult", H572&gt;=50, "Senior")</f>
        <v>Adult</v>
      </c>
      <c r="J572" s="4" t="s">
        <v>4</v>
      </c>
      <c r="K572" s="4">
        <v>1</v>
      </c>
      <c r="L572" s="16">
        <v>50</v>
      </c>
      <c r="M572" s="16">
        <f xml:space="preserve"> K572 * L572</f>
        <v>50</v>
      </c>
      <c r="N572" s="16">
        <f>M572 * $Q$3</f>
        <v>0.75</v>
      </c>
      <c r="O572" s="16">
        <f>M572 * $Q$4</f>
        <v>1</v>
      </c>
    </row>
    <row r="573" spans="1:15">
      <c r="A573" s="2">
        <v>572</v>
      </c>
      <c r="B573" s="4">
        <f>DAY(E573)</f>
        <v>20</v>
      </c>
      <c r="C573" s="4">
        <f>MONTH(E573)</f>
        <v>4</v>
      </c>
      <c r="D573" s="4">
        <f>YEAR(E573)</f>
        <v>2023</v>
      </c>
      <c r="E573" s="3">
        <v>45036</v>
      </c>
      <c r="F573" s="4" t="s">
        <v>603</v>
      </c>
      <c r="G573" s="4" t="s">
        <v>8</v>
      </c>
      <c r="H573" s="4">
        <v>31</v>
      </c>
      <c r="I573" s="4" t="str" cm="1">
        <f t="array" ref="I573">_xlfn.IFS(H573&lt;30, "Young Adult", H573&lt;50, "Adult", H573&gt;=50, "Senior")</f>
        <v>Adult</v>
      </c>
      <c r="J573" s="4" t="s">
        <v>3</v>
      </c>
      <c r="K573" s="4">
        <v>4</v>
      </c>
      <c r="L573" s="16">
        <v>500</v>
      </c>
      <c r="M573" s="16">
        <f xml:space="preserve"> K573 * L573</f>
        <v>2000</v>
      </c>
      <c r="N573" s="16">
        <f>M573 * $Q$3</f>
        <v>30</v>
      </c>
      <c r="O573" s="16">
        <f>M573 * $Q$4</f>
        <v>40</v>
      </c>
    </row>
    <row r="574" spans="1:15">
      <c r="A574" s="2">
        <v>573</v>
      </c>
      <c r="B574" s="4">
        <f>DAY(E574)</f>
        <v>19</v>
      </c>
      <c r="C574" s="4">
        <f>MONTH(E574)</f>
        <v>9</v>
      </c>
      <c r="D574" s="4">
        <f>YEAR(E574)</f>
        <v>2023</v>
      </c>
      <c r="E574" s="3">
        <v>45188</v>
      </c>
      <c r="F574" s="4" t="s">
        <v>604</v>
      </c>
      <c r="G574" s="4" t="s">
        <v>8</v>
      </c>
      <c r="H574" s="4">
        <v>49</v>
      </c>
      <c r="I574" s="4" t="str" cm="1">
        <f t="array" ref="I574">_xlfn.IFS(H574&lt;30, "Young Adult", H574&lt;50, "Adult", H574&gt;=50, "Senior")</f>
        <v>Adult</v>
      </c>
      <c r="J574" s="4" t="s">
        <v>2</v>
      </c>
      <c r="K574" s="4">
        <v>2</v>
      </c>
      <c r="L574" s="16">
        <v>30</v>
      </c>
      <c r="M574" s="16">
        <f xml:space="preserve"> K574 * L574</f>
        <v>60</v>
      </c>
      <c r="N574" s="16">
        <f>M574 * $Q$3</f>
        <v>0.89999999999999991</v>
      </c>
      <c r="O574" s="16">
        <f>M574 * $Q$4</f>
        <v>1.2</v>
      </c>
    </row>
    <row r="575" spans="1:15">
      <c r="A575" s="2">
        <v>574</v>
      </c>
      <c r="B575" s="4">
        <f>DAY(E575)</f>
        <v>31</v>
      </c>
      <c r="C575" s="4">
        <f>MONTH(E575)</f>
        <v>8</v>
      </c>
      <c r="D575" s="4">
        <f>YEAR(E575)</f>
        <v>2023</v>
      </c>
      <c r="E575" s="3">
        <v>45169</v>
      </c>
      <c r="F575" s="4" t="s">
        <v>605</v>
      </c>
      <c r="G575" s="4" t="s">
        <v>7</v>
      </c>
      <c r="H575" s="4">
        <v>63</v>
      </c>
      <c r="I575" s="4" t="str" cm="1">
        <f t="array" ref="I575">_xlfn.IFS(H575&lt;30, "Young Adult", H575&lt;50, "Adult", H575&gt;=50, "Senior")</f>
        <v>Senior</v>
      </c>
      <c r="J575" s="4" t="s">
        <v>4</v>
      </c>
      <c r="K575" s="4">
        <v>2</v>
      </c>
      <c r="L575" s="16">
        <v>25</v>
      </c>
      <c r="M575" s="16">
        <f xml:space="preserve"> K575 * L575</f>
        <v>50</v>
      </c>
      <c r="N575" s="16">
        <f>M575 * $Q$3</f>
        <v>0.75</v>
      </c>
      <c r="O575" s="16">
        <f>M575 * $Q$4</f>
        <v>1</v>
      </c>
    </row>
    <row r="576" spans="1:15">
      <c r="A576" s="2">
        <v>575</v>
      </c>
      <c r="B576" s="4">
        <f>DAY(E576)</f>
        <v>28</v>
      </c>
      <c r="C576" s="4">
        <f>MONTH(E576)</f>
        <v>3</v>
      </c>
      <c r="D576" s="4">
        <f>YEAR(E576)</f>
        <v>2023</v>
      </c>
      <c r="E576" s="3">
        <v>45013</v>
      </c>
      <c r="F576" s="4" t="s">
        <v>606</v>
      </c>
      <c r="G576" s="4" t="s">
        <v>8</v>
      </c>
      <c r="H576" s="4">
        <v>60</v>
      </c>
      <c r="I576" s="4" t="str" cm="1">
        <f t="array" ref="I576">_xlfn.IFS(H576&lt;30, "Young Adult", H576&lt;50, "Adult", H576&gt;=50, "Senior")</f>
        <v>Senior</v>
      </c>
      <c r="J576" s="4" t="s">
        <v>3</v>
      </c>
      <c r="K576" s="4">
        <v>2</v>
      </c>
      <c r="L576" s="16">
        <v>50</v>
      </c>
      <c r="M576" s="16">
        <f xml:space="preserve"> K576 * L576</f>
        <v>100</v>
      </c>
      <c r="N576" s="16">
        <f>M576 * $Q$3</f>
        <v>1.5</v>
      </c>
      <c r="O576" s="16">
        <f>M576 * $Q$4</f>
        <v>2</v>
      </c>
    </row>
    <row r="577" spans="1:15">
      <c r="A577" s="2">
        <v>576</v>
      </c>
      <c r="B577" s="4">
        <f>DAY(E577)</f>
        <v>4</v>
      </c>
      <c r="C577" s="4">
        <f>MONTH(E577)</f>
        <v>12</v>
      </c>
      <c r="D577" s="4">
        <f>YEAR(E577)</f>
        <v>2023</v>
      </c>
      <c r="E577" s="3">
        <v>45264</v>
      </c>
      <c r="F577" s="4" t="s">
        <v>607</v>
      </c>
      <c r="G577" s="4" t="s">
        <v>7</v>
      </c>
      <c r="H577" s="4">
        <v>33</v>
      </c>
      <c r="I577" s="4" t="str" cm="1">
        <f t="array" ref="I577">_xlfn.IFS(H577&lt;30, "Young Adult", H577&lt;50, "Adult", H577&gt;=50, "Senior")</f>
        <v>Adult</v>
      </c>
      <c r="J577" s="4" t="s">
        <v>2</v>
      </c>
      <c r="K577" s="4">
        <v>3</v>
      </c>
      <c r="L577" s="16">
        <v>50</v>
      </c>
      <c r="M577" s="16">
        <f xml:space="preserve"> K577 * L577</f>
        <v>150</v>
      </c>
      <c r="N577" s="16">
        <f>M577 * $Q$3</f>
        <v>2.25</v>
      </c>
      <c r="O577" s="16">
        <f>M577 * $Q$4</f>
        <v>3</v>
      </c>
    </row>
    <row r="578" spans="1:15">
      <c r="A578" s="2">
        <v>577</v>
      </c>
      <c r="B578" s="4">
        <f>DAY(E578)</f>
        <v>13</v>
      </c>
      <c r="C578" s="4">
        <f>MONTH(E578)</f>
        <v>2</v>
      </c>
      <c r="D578" s="4">
        <f>YEAR(E578)</f>
        <v>2023</v>
      </c>
      <c r="E578" s="3">
        <v>44970</v>
      </c>
      <c r="F578" s="4" t="s">
        <v>608</v>
      </c>
      <c r="G578" s="4" t="s">
        <v>8</v>
      </c>
      <c r="H578" s="4">
        <v>21</v>
      </c>
      <c r="I578" s="4" t="str" cm="1">
        <f t="array" ref="I578">_xlfn.IFS(H578&lt;30, "Young Adult", H578&lt;50, "Adult", H578&gt;=50, "Senior")</f>
        <v>Young Adult</v>
      </c>
      <c r="J578" s="4" t="s">
        <v>2</v>
      </c>
      <c r="K578" s="4">
        <v>4</v>
      </c>
      <c r="L578" s="16">
        <v>500</v>
      </c>
      <c r="M578" s="16">
        <f xml:space="preserve"> K578 * L578</f>
        <v>2000</v>
      </c>
      <c r="N578" s="16">
        <f>M578 * $Q$3</f>
        <v>30</v>
      </c>
      <c r="O578" s="16">
        <f>M578 * $Q$4</f>
        <v>40</v>
      </c>
    </row>
    <row r="579" spans="1:15">
      <c r="A579" s="2">
        <v>578</v>
      </c>
      <c r="B579" s="4">
        <f>DAY(E579)</f>
        <v>26</v>
      </c>
      <c r="C579" s="4">
        <f>MONTH(E579)</f>
        <v>5</v>
      </c>
      <c r="D579" s="4">
        <f>YEAR(E579)</f>
        <v>2023</v>
      </c>
      <c r="E579" s="3">
        <v>45072</v>
      </c>
      <c r="F579" s="4" t="s">
        <v>609</v>
      </c>
      <c r="G579" s="4" t="s">
        <v>7</v>
      </c>
      <c r="H579" s="4">
        <v>54</v>
      </c>
      <c r="I579" s="4" t="str" cm="1">
        <f t="array" ref="I579">_xlfn.IFS(H579&lt;30, "Young Adult", H579&lt;50, "Adult", H579&gt;=50, "Senior")</f>
        <v>Senior</v>
      </c>
      <c r="J579" s="4" t="s">
        <v>3</v>
      </c>
      <c r="K579" s="4">
        <v>4</v>
      </c>
      <c r="L579" s="16">
        <v>30</v>
      </c>
      <c r="M579" s="16">
        <f xml:space="preserve"> K579 * L579</f>
        <v>120</v>
      </c>
      <c r="N579" s="16">
        <f>M579 * $Q$3</f>
        <v>1.7999999999999998</v>
      </c>
      <c r="O579" s="16">
        <f>M579 * $Q$4</f>
        <v>2.4</v>
      </c>
    </row>
    <row r="580" spans="1:15">
      <c r="A580" s="2">
        <v>579</v>
      </c>
      <c r="B580" s="4">
        <f>DAY(E580)</f>
        <v>21</v>
      </c>
      <c r="C580" s="4">
        <f>MONTH(E580)</f>
        <v>9</v>
      </c>
      <c r="D580" s="4">
        <f>YEAR(E580)</f>
        <v>2023</v>
      </c>
      <c r="E580" s="3">
        <v>45190</v>
      </c>
      <c r="F580" s="4" t="s">
        <v>610</v>
      </c>
      <c r="G580" s="4" t="s">
        <v>7</v>
      </c>
      <c r="H580" s="4">
        <v>38</v>
      </c>
      <c r="I580" s="4" t="str" cm="1">
        <f t="array" ref="I580">_xlfn.IFS(H580&lt;30, "Young Adult", H580&lt;50, "Adult", H580&gt;=50, "Senior")</f>
        <v>Adult</v>
      </c>
      <c r="J580" s="4" t="s">
        <v>4</v>
      </c>
      <c r="K580" s="4">
        <v>1</v>
      </c>
      <c r="L580" s="16">
        <v>30</v>
      </c>
      <c r="M580" s="16">
        <f xml:space="preserve"> K580 * L580</f>
        <v>30</v>
      </c>
      <c r="N580" s="16">
        <f>M580 * $Q$3</f>
        <v>0.44999999999999996</v>
      </c>
      <c r="O580" s="16">
        <f>M580 * $Q$4</f>
        <v>0.6</v>
      </c>
    </row>
    <row r="581" spans="1:15">
      <c r="A581" s="2">
        <v>580</v>
      </c>
      <c r="B581" s="4">
        <f>DAY(E581)</f>
        <v>6</v>
      </c>
      <c r="C581" s="4">
        <f>MONTH(E581)</f>
        <v>12</v>
      </c>
      <c r="D581" s="4">
        <f>YEAR(E581)</f>
        <v>2023</v>
      </c>
      <c r="E581" s="3">
        <v>45266</v>
      </c>
      <c r="F581" s="4" t="s">
        <v>611</v>
      </c>
      <c r="G581" s="4" t="s">
        <v>7</v>
      </c>
      <c r="H581" s="4">
        <v>31</v>
      </c>
      <c r="I581" s="4" t="str" cm="1">
        <f t="array" ref="I581">_xlfn.IFS(H581&lt;30, "Young Adult", H581&lt;50, "Adult", H581&gt;=50, "Senior")</f>
        <v>Adult</v>
      </c>
      <c r="J581" s="4" t="s">
        <v>3</v>
      </c>
      <c r="K581" s="4">
        <v>3</v>
      </c>
      <c r="L581" s="16">
        <v>500</v>
      </c>
      <c r="M581" s="16">
        <f xml:space="preserve"> K581 * L581</f>
        <v>1500</v>
      </c>
      <c r="N581" s="16">
        <f>M581 * $Q$3</f>
        <v>22.5</v>
      </c>
      <c r="O581" s="16">
        <f>M581 * $Q$4</f>
        <v>30</v>
      </c>
    </row>
    <row r="582" spans="1:15">
      <c r="A582" s="2">
        <v>581</v>
      </c>
      <c r="B582" s="4">
        <f>DAY(E582)</f>
        <v>21</v>
      </c>
      <c r="C582" s="4">
        <f>MONTH(E582)</f>
        <v>11</v>
      </c>
      <c r="D582" s="4">
        <f>YEAR(E582)</f>
        <v>2023</v>
      </c>
      <c r="E582" s="3">
        <v>45251</v>
      </c>
      <c r="F582" s="4" t="s">
        <v>612</v>
      </c>
      <c r="G582" s="4" t="s">
        <v>7</v>
      </c>
      <c r="H582" s="4">
        <v>48</v>
      </c>
      <c r="I582" s="4" t="str" cm="1">
        <f t="array" ref="I582">_xlfn.IFS(H582&lt;30, "Young Adult", H582&lt;50, "Adult", H582&gt;=50, "Senior")</f>
        <v>Adult</v>
      </c>
      <c r="J582" s="4" t="s">
        <v>2</v>
      </c>
      <c r="K582" s="4">
        <v>2</v>
      </c>
      <c r="L582" s="16">
        <v>30</v>
      </c>
      <c r="M582" s="16">
        <f xml:space="preserve"> K582 * L582</f>
        <v>60</v>
      </c>
      <c r="N582" s="16">
        <f>M582 * $Q$3</f>
        <v>0.89999999999999991</v>
      </c>
      <c r="O582" s="16">
        <f>M582 * $Q$4</f>
        <v>1.2</v>
      </c>
    </row>
    <row r="583" spans="1:15">
      <c r="A583" s="2">
        <v>582</v>
      </c>
      <c r="B583" s="4">
        <f>DAY(E583)</f>
        <v>14</v>
      </c>
      <c r="C583" s="4">
        <f>MONTH(E583)</f>
        <v>11</v>
      </c>
      <c r="D583" s="4">
        <f>YEAR(E583)</f>
        <v>2023</v>
      </c>
      <c r="E583" s="3">
        <v>45244</v>
      </c>
      <c r="F583" s="4" t="s">
        <v>613</v>
      </c>
      <c r="G583" s="4" t="s">
        <v>8</v>
      </c>
      <c r="H583" s="4">
        <v>35</v>
      </c>
      <c r="I583" s="4" t="str" cm="1">
        <f t="array" ref="I583">_xlfn.IFS(H583&lt;30, "Young Adult", H583&lt;50, "Adult", H583&gt;=50, "Senior")</f>
        <v>Adult</v>
      </c>
      <c r="J583" s="4" t="s">
        <v>3</v>
      </c>
      <c r="K583" s="4">
        <v>3</v>
      </c>
      <c r="L583" s="16">
        <v>300</v>
      </c>
      <c r="M583" s="16">
        <f xml:space="preserve"> K583 * L583</f>
        <v>900</v>
      </c>
      <c r="N583" s="16">
        <f>M583 * $Q$3</f>
        <v>13.5</v>
      </c>
      <c r="O583" s="16">
        <f>M583 * $Q$4</f>
        <v>18</v>
      </c>
    </row>
    <row r="584" spans="1:15">
      <c r="A584" s="2">
        <v>583</v>
      </c>
      <c r="B584" s="4">
        <f>DAY(E584)</f>
        <v>21</v>
      </c>
      <c r="C584" s="4">
        <f>MONTH(E584)</f>
        <v>6</v>
      </c>
      <c r="D584" s="4">
        <f>YEAR(E584)</f>
        <v>2023</v>
      </c>
      <c r="E584" s="3">
        <v>45098</v>
      </c>
      <c r="F584" s="4" t="s">
        <v>614</v>
      </c>
      <c r="G584" s="4" t="s">
        <v>7</v>
      </c>
      <c r="H584" s="4">
        <v>24</v>
      </c>
      <c r="I584" s="4" t="str" cm="1">
        <f t="array" ref="I584">_xlfn.IFS(H584&lt;30, "Young Adult", H584&lt;50, "Adult", H584&gt;=50, "Senior")</f>
        <v>Young Adult</v>
      </c>
      <c r="J584" s="4" t="s">
        <v>4</v>
      </c>
      <c r="K584" s="4">
        <v>4</v>
      </c>
      <c r="L584" s="16">
        <v>25</v>
      </c>
      <c r="M584" s="16">
        <f xml:space="preserve"> K584 * L584</f>
        <v>100</v>
      </c>
      <c r="N584" s="16">
        <f>M584 * $Q$3</f>
        <v>1.5</v>
      </c>
      <c r="O584" s="16">
        <f>M584 * $Q$4</f>
        <v>2</v>
      </c>
    </row>
    <row r="585" spans="1:15">
      <c r="A585" s="2">
        <v>584</v>
      </c>
      <c r="B585" s="4">
        <f>DAY(E585)</f>
        <v>17</v>
      </c>
      <c r="C585" s="4">
        <f>MONTH(E585)</f>
        <v>2</v>
      </c>
      <c r="D585" s="4">
        <f>YEAR(E585)</f>
        <v>2023</v>
      </c>
      <c r="E585" s="3">
        <v>44974</v>
      </c>
      <c r="F585" s="4" t="s">
        <v>615</v>
      </c>
      <c r="G585" s="4" t="s">
        <v>7</v>
      </c>
      <c r="H585" s="4">
        <v>27</v>
      </c>
      <c r="I585" s="4" t="str" cm="1">
        <f t="array" ref="I585">_xlfn.IFS(H585&lt;30, "Young Adult", H585&lt;50, "Adult", H585&gt;=50, "Senior")</f>
        <v>Young Adult</v>
      </c>
      <c r="J585" s="4" t="s">
        <v>2</v>
      </c>
      <c r="K585" s="4">
        <v>4</v>
      </c>
      <c r="L585" s="16">
        <v>50</v>
      </c>
      <c r="M585" s="16">
        <f xml:space="preserve"> K585 * L585</f>
        <v>200</v>
      </c>
      <c r="N585" s="16">
        <f>M585 * $Q$3</f>
        <v>3</v>
      </c>
      <c r="O585" s="16">
        <f>M585 * $Q$4</f>
        <v>4</v>
      </c>
    </row>
    <row r="586" spans="1:15">
      <c r="A586" s="2">
        <v>585</v>
      </c>
      <c r="B586" s="4">
        <f>DAY(E586)</f>
        <v>1</v>
      </c>
      <c r="C586" s="4">
        <f>MONTH(E586)</f>
        <v>5</v>
      </c>
      <c r="D586" s="4">
        <f>YEAR(E586)</f>
        <v>2023</v>
      </c>
      <c r="E586" s="3">
        <v>45047</v>
      </c>
      <c r="F586" s="4" t="s">
        <v>616</v>
      </c>
      <c r="G586" s="4" t="s">
        <v>7</v>
      </c>
      <c r="H586" s="4">
        <v>24</v>
      </c>
      <c r="I586" s="4" t="str" cm="1">
        <f t="array" ref="I586">_xlfn.IFS(H586&lt;30, "Young Adult", H586&lt;50, "Adult", H586&gt;=50, "Senior")</f>
        <v>Young Adult</v>
      </c>
      <c r="J586" s="4" t="s">
        <v>3</v>
      </c>
      <c r="K586" s="4">
        <v>1</v>
      </c>
      <c r="L586" s="16">
        <v>25</v>
      </c>
      <c r="M586" s="16">
        <f xml:space="preserve"> K586 * L586</f>
        <v>25</v>
      </c>
      <c r="N586" s="16">
        <f>M586 * $Q$3</f>
        <v>0.375</v>
      </c>
      <c r="O586" s="16">
        <f>M586 * $Q$4</f>
        <v>0.5</v>
      </c>
    </row>
    <row r="587" spans="1:15">
      <c r="A587" s="2">
        <v>586</v>
      </c>
      <c r="B587" s="4">
        <f>DAY(E587)</f>
        <v>11</v>
      </c>
      <c r="C587" s="4">
        <f>MONTH(E587)</f>
        <v>12</v>
      </c>
      <c r="D587" s="4">
        <f>YEAR(E587)</f>
        <v>2023</v>
      </c>
      <c r="E587" s="3">
        <v>45271</v>
      </c>
      <c r="F587" s="4" t="s">
        <v>617</v>
      </c>
      <c r="G587" s="4" t="s">
        <v>8</v>
      </c>
      <c r="H587" s="4">
        <v>50</v>
      </c>
      <c r="I587" s="4" t="str" cm="1">
        <f t="array" ref="I587">_xlfn.IFS(H587&lt;30, "Young Adult", H587&lt;50, "Adult", H587&gt;=50, "Senior")</f>
        <v>Senior</v>
      </c>
      <c r="J587" s="4" t="s">
        <v>4</v>
      </c>
      <c r="K587" s="4">
        <v>1</v>
      </c>
      <c r="L587" s="16">
        <v>50</v>
      </c>
      <c r="M587" s="16">
        <f xml:space="preserve"> K587 * L587</f>
        <v>50</v>
      </c>
      <c r="N587" s="16">
        <f>M587 * $Q$3</f>
        <v>0.75</v>
      </c>
      <c r="O587" s="16">
        <f>M587 * $Q$4</f>
        <v>1</v>
      </c>
    </row>
    <row r="588" spans="1:15">
      <c r="A588" s="2">
        <v>587</v>
      </c>
      <c r="B588" s="4">
        <f>DAY(E588)</f>
        <v>8</v>
      </c>
      <c r="C588" s="4">
        <f>MONTH(E588)</f>
        <v>6</v>
      </c>
      <c r="D588" s="4">
        <f>YEAR(E588)</f>
        <v>2023</v>
      </c>
      <c r="E588" s="3">
        <v>45085</v>
      </c>
      <c r="F588" s="4" t="s">
        <v>618</v>
      </c>
      <c r="G588" s="4" t="s">
        <v>7</v>
      </c>
      <c r="H588" s="4">
        <v>40</v>
      </c>
      <c r="I588" s="4" t="str" cm="1">
        <f t="array" ref="I588">_xlfn.IFS(H588&lt;30, "Young Adult", H588&lt;50, "Adult", H588&gt;=50, "Senior")</f>
        <v>Adult</v>
      </c>
      <c r="J588" s="4" t="s">
        <v>2</v>
      </c>
      <c r="K588" s="4">
        <v>4</v>
      </c>
      <c r="L588" s="16">
        <v>300</v>
      </c>
      <c r="M588" s="16">
        <f xml:space="preserve"> K588 * L588</f>
        <v>1200</v>
      </c>
      <c r="N588" s="16">
        <f>M588 * $Q$3</f>
        <v>18</v>
      </c>
      <c r="O588" s="16">
        <f>M588 * $Q$4</f>
        <v>24</v>
      </c>
    </row>
    <row r="589" spans="1:15">
      <c r="A589" s="2">
        <v>588</v>
      </c>
      <c r="B589" s="4">
        <f>DAY(E589)</f>
        <v>26</v>
      </c>
      <c r="C589" s="4">
        <f>MONTH(E589)</f>
        <v>4</v>
      </c>
      <c r="D589" s="4">
        <f>YEAR(E589)</f>
        <v>2023</v>
      </c>
      <c r="E589" s="3">
        <v>45042</v>
      </c>
      <c r="F589" s="4" t="s">
        <v>619</v>
      </c>
      <c r="G589" s="4" t="s">
        <v>8</v>
      </c>
      <c r="H589" s="4">
        <v>38</v>
      </c>
      <c r="I589" s="4" t="str" cm="1">
        <f t="array" ref="I589">_xlfn.IFS(H589&lt;30, "Young Adult", H589&lt;50, "Adult", H589&gt;=50, "Senior")</f>
        <v>Adult</v>
      </c>
      <c r="J589" s="4" t="s">
        <v>4</v>
      </c>
      <c r="K589" s="4">
        <v>2</v>
      </c>
      <c r="L589" s="16">
        <v>30</v>
      </c>
      <c r="M589" s="16">
        <f xml:space="preserve"> K589 * L589</f>
        <v>60</v>
      </c>
      <c r="N589" s="16">
        <f>M589 * $Q$3</f>
        <v>0.89999999999999991</v>
      </c>
      <c r="O589" s="16">
        <f>M589 * $Q$4</f>
        <v>1.2</v>
      </c>
    </row>
    <row r="590" spans="1:15">
      <c r="A590" s="2">
        <v>589</v>
      </c>
      <c r="B590" s="4">
        <f>DAY(E590)</f>
        <v>12</v>
      </c>
      <c r="C590" s="4">
        <f>MONTH(E590)</f>
        <v>4</v>
      </c>
      <c r="D590" s="4">
        <f>YEAR(E590)</f>
        <v>2023</v>
      </c>
      <c r="E590" s="3">
        <v>45028</v>
      </c>
      <c r="F590" s="4" t="s">
        <v>620</v>
      </c>
      <c r="G590" s="4" t="s">
        <v>7</v>
      </c>
      <c r="H590" s="4">
        <v>36</v>
      </c>
      <c r="I590" s="4" t="str" cm="1">
        <f t="array" ref="I590">_xlfn.IFS(H590&lt;30, "Young Adult", H590&lt;50, "Adult", H590&gt;=50, "Senior")</f>
        <v>Adult</v>
      </c>
      <c r="J590" s="4" t="s">
        <v>2</v>
      </c>
      <c r="K590" s="4">
        <v>2</v>
      </c>
      <c r="L590" s="16">
        <v>500</v>
      </c>
      <c r="M590" s="16">
        <f xml:space="preserve"> K590 * L590</f>
        <v>1000</v>
      </c>
      <c r="N590" s="16">
        <f>M590 * $Q$3</f>
        <v>15</v>
      </c>
      <c r="O590" s="16">
        <f>M590 * $Q$4</f>
        <v>20</v>
      </c>
    </row>
    <row r="591" spans="1:15">
      <c r="A591" s="2">
        <v>590</v>
      </c>
      <c r="B591" s="4">
        <f>DAY(E591)</f>
        <v>17</v>
      </c>
      <c r="C591" s="4">
        <f>MONTH(E591)</f>
        <v>3</v>
      </c>
      <c r="D591" s="4">
        <f>YEAR(E591)</f>
        <v>2023</v>
      </c>
      <c r="E591" s="3">
        <v>45002</v>
      </c>
      <c r="F591" s="4" t="s">
        <v>621</v>
      </c>
      <c r="G591" s="4" t="s">
        <v>8</v>
      </c>
      <c r="H591" s="4">
        <v>36</v>
      </c>
      <c r="I591" s="4" t="str" cm="1">
        <f t="array" ref="I591">_xlfn.IFS(H591&lt;30, "Young Adult", H591&lt;50, "Adult", H591&gt;=50, "Senior")</f>
        <v>Adult</v>
      </c>
      <c r="J591" s="4" t="s">
        <v>3</v>
      </c>
      <c r="K591" s="4">
        <v>3</v>
      </c>
      <c r="L591" s="16">
        <v>300</v>
      </c>
      <c r="M591" s="16">
        <f xml:space="preserve"> K591 * L591</f>
        <v>900</v>
      </c>
      <c r="N591" s="16">
        <f>M591 * $Q$3</f>
        <v>13.5</v>
      </c>
      <c r="O591" s="16">
        <f>M591 * $Q$4</f>
        <v>18</v>
      </c>
    </row>
    <row r="592" spans="1:15">
      <c r="A592" s="2">
        <v>591</v>
      </c>
      <c r="B592" s="4">
        <f>DAY(E592)</f>
        <v>13</v>
      </c>
      <c r="C592" s="4">
        <f>MONTH(E592)</f>
        <v>1</v>
      </c>
      <c r="D592" s="4">
        <f>YEAR(E592)</f>
        <v>2023</v>
      </c>
      <c r="E592" s="3">
        <v>44939</v>
      </c>
      <c r="F592" s="4" t="s">
        <v>622</v>
      </c>
      <c r="G592" s="4" t="s">
        <v>8</v>
      </c>
      <c r="H592" s="4">
        <v>53</v>
      </c>
      <c r="I592" s="4" t="str" cm="1">
        <f t="array" ref="I592">_xlfn.IFS(H592&lt;30, "Young Adult", H592&lt;50, "Adult", H592&gt;=50, "Senior")</f>
        <v>Senior</v>
      </c>
      <c r="J592" s="4" t="s">
        <v>4</v>
      </c>
      <c r="K592" s="4">
        <v>4</v>
      </c>
      <c r="L592" s="16">
        <v>25</v>
      </c>
      <c r="M592" s="16">
        <f xml:space="preserve"> K592 * L592</f>
        <v>100</v>
      </c>
      <c r="N592" s="16">
        <f>M592 * $Q$3</f>
        <v>1.5</v>
      </c>
      <c r="O592" s="16">
        <f>M592 * $Q$4</f>
        <v>2</v>
      </c>
    </row>
    <row r="593" spans="1:15">
      <c r="A593" s="2">
        <v>592</v>
      </c>
      <c r="B593" s="4">
        <f>DAY(E593)</f>
        <v>24</v>
      </c>
      <c r="C593" s="4">
        <f>MONTH(E593)</f>
        <v>1</v>
      </c>
      <c r="D593" s="4">
        <f>YEAR(E593)</f>
        <v>2023</v>
      </c>
      <c r="E593" s="3">
        <v>44950</v>
      </c>
      <c r="F593" s="4" t="s">
        <v>623</v>
      </c>
      <c r="G593" s="4" t="s">
        <v>7</v>
      </c>
      <c r="H593" s="4">
        <v>46</v>
      </c>
      <c r="I593" s="4" t="str" cm="1">
        <f t="array" ref="I593">_xlfn.IFS(H593&lt;30, "Young Adult", H593&lt;50, "Adult", H593&gt;=50, "Senior")</f>
        <v>Adult</v>
      </c>
      <c r="J593" s="4" t="s">
        <v>2</v>
      </c>
      <c r="K593" s="4">
        <v>4</v>
      </c>
      <c r="L593" s="16">
        <v>500</v>
      </c>
      <c r="M593" s="16">
        <f xml:space="preserve"> K593 * L593</f>
        <v>2000</v>
      </c>
      <c r="N593" s="16">
        <f>M593 * $Q$3</f>
        <v>30</v>
      </c>
      <c r="O593" s="16">
        <f>M593 * $Q$4</f>
        <v>40</v>
      </c>
    </row>
    <row r="594" spans="1:15">
      <c r="A594" s="2">
        <v>593</v>
      </c>
      <c r="B594" s="4">
        <f>DAY(E594)</f>
        <v>6</v>
      </c>
      <c r="C594" s="4">
        <f>MONTH(E594)</f>
        <v>5</v>
      </c>
      <c r="D594" s="4">
        <f>YEAR(E594)</f>
        <v>2023</v>
      </c>
      <c r="E594" s="3">
        <v>45052</v>
      </c>
      <c r="F594" s="4" t="s">
        <v>624</v>
      </c>
      <c r="G594" s="4" t="s">
        <v>8</v>
      </c>
      <c r="H594" s="4">
        <v>35</v>
      </c>
      <c r="I594" s="4" t="str" cm="1">
        <f t="array" ref="I594">_xlfn.IFS(H594&lt;30, "Young Adult", H594&lt;50, "Adult", H594&gt;=50, "Senior")</f>
        <v>Adult</v>
      </c>
      <c r="J594" s="4" t="s">
        <v>4</v>
      </c>
      <c r="K594" s="4">
        <v>2</v>
      </c>
      <c r="L594" s="16">
        <v>30</v>
      </c>
      <c r="M594" s="16">
        <f xml:space="preserve"> K594 * L594</f>
        <v>60</v>
      </c>
      <c r="N594" s="16">
        <f>M594 * $Q$3</f>
        <v>0.89999999999999991</v>
      </c>
      <c r="O594" s="16">
        <f>M594 * $Q$4</f>
        <v>1.2</v>
      </c>
    </row>
    <row r="595" spans="1:15">
      <c r="A595" s="2">
        <v>594</v>
      </c>
      <c r="B595" s="4">
        <f>DAY(E595)</f>
        <v>1</v>
      </c>
      <c r="C595" s="4">
        <f>MONTH(E595)</f>
        <v>9</v>
      </c>
      <c r="D595" s="4">
        <f>YEAR(E595)</f>
        <v>2023</v>
      </c>
      <c r="E595" s="3">
        <v>45170</v>
      </c>
      <c r="F595" s="4" t="s">
        <v>625</v>
      </c>
      <c r="G595" s="4" t="s">
        <v>7</v>
      </c>
      <c r="H595" s="4">
        <v>19</v>
      </c>
      <c r="I595" s="4" t="str" cm="1">
        <f t="array" ref="I595">_xlfn.IFS(H595&lt;30, "Young Adult", H595&lt;50, "Adult", H595&gt;=50, "Senior")</f>
        <v>Young Adult</v>
      </c>
      <c r="J595" s="4" t="s">
        <v>4</v>
      </c>
      <c r="K595" s="4">
        <v>2</v>
      </c>
      <c r="L595" s="16">
        <v>300</v>
      </c>
      <c r="M595" s="16">
        <f xml:space="preserve"> K595 * L595</f>
        <v>600</v>
      </c>
      <c r="N595" s="16">
        <f>M595 * $Q$3</f>
        <v>9</v>
      </c>
      <c r="O595" s="16">
        <f>M595 * $Q$4</f>
        <v>12</v>
      </c>
    </row>
    <row r="596" spans="1:15">
      <c r="A596" s="2">
        <v>595</v>
      </c>
      <c r="B596" s="4">
        <f>DAY(E596)</f>
        <v>9</v>
      </c>
      <c r="C596" s="4">
        <f>MONTH(E596)</f>
        <v>11</v>
      </c>
      <c r="D596" s="4">
        <f>YEAR(E596)</f>
        <v>2023</v>
      </c>
      <c r="E596" s="3">
        <v>45239</v>
      </c>
      <c r="F596" s="4" t="s">
        <v>626</v>
      </c>
      <c r="G596" s="4" t="s">
        <v>7</v>
      </c>
      <c r="H596" s="4">
        <v>18</v>
      </c>
      <c r="I596" s="4" t="str" cm="1">
        <f t="array" ref="I596">_xlfn.IFS(H596&lt;30, "Young Adult", H596&lt;50, "Adult", H596&gt;=50, "Senior")</f>
        <v>Young Adult</v>
      </c>
      <c r="J596" s="4" t="s">
        <v>3</v>
      </c>
      <c r="K596" s="4">
        <v>4</v>
      </c>
      <c r="L596" s="16">
        <v>500</v>
      </c>
      <c r="M596" s="16">
        <f xml:space="preserve"> K596 * L596</f>
        <v>2000</v>
      </c>
      <c r="N596" s="16">
        <f>M596 * $Q$3</f>
        <v>30</v>
      </c>
      <c r="O596" s="16">
        <f>M596 * $Q$4</f>
        <v>40</v>
      </c>
    </row>
    <row r="597" spans="1:15">
      <c r="A597" s="2">
        <v>596</v>
      </c>
      <c r="B597" s="4">
        <f>DAY(E597)</f>
        <v>7</v>
      </c>
      <c r="C597" s="4">
        <f>MONTH(E597)</f>
        <v>2</v>
      </c>
      <c r="D597" s="4">
        <f>YEAR(E597)</f>
        <v>2023</v>
      </c>
      <c r="E597" s="3">
        <v>44964</v>
      </c>
      <c r="F597" s="4" t="s">
        <v>627</v>
      </c>
      <c r="G597" s="4" t="s">
        <v>7</v>
      </c>
      <c r="H597" s="4">
        <v>64</v>
      </c>
      <c r="I597" s="4" t="str" cm="1">
        <f t="array" ref="I597">_xlfn.IFS(H597&lt;30, "Young Adult", H597&lt;50, "Adult", H597&gt;=50, "Senior")</f>
        <v>Senior</v>
      </c>
      <c r="J597" s="4" t="s">
        <v>4</v>
      </c>
      <c r="K597" s="4">
        <v>1</v>
      </c>
      <c r="L597" s="16">
        <v>300</v>
      </c>
      <c r="M597" s="16">
        <f xml:space="preserve"> K597 * L597</f>
        <v>300</v>
      </c>
      <c r="N597" s="16">
        <f>M597 * $Q$3</f>
        <v>4.5</v>
      </c>
      <c r="O597" s="16">
        <f>M597 * $Q$4</f>
        <v>6</v>
      </c>
    </row>
    <row r="598" spans="1:15">
      <c r="A598" s="2">
        <v>597</v>
      </c>
      <c r="B598" s="4">
        <f>DAY(E598)</f>
        <v>22</v>
      </c>
      <c r="C598" s="4">
        <f>MONTH(E598)</f>
        <v>8</v>
      </c>
      <c r="D598" s="4">
        <f>YEAR(E598)</f>
        <v>2023</v>
      </c>
      <c r="E598" s="3">
        <v>45160</v>
      </c>
      <c r="F598" s="4" t="s">
        <v>628</v>
      </c>
      <c r="G598" s="4" t="s">
        <v>8</v>
      </c>
      <c r="H598" s="4">
        <v>22</v>
      </c>
      <c r="I598" s="4" t="str" cm="1">
        <f t="array" ref="I598">_xlfn.IFS(H598&lt;30, "Young Adult", H598&lt;50, "Adult", H598&gt;=50, "Senior")</f>
        <v>Young Adult</v>
      </c>
      <c r="J598" s="4" t="s">
        <v>2</v>
      </c>
      <c r="K598" s="4">
        <v>4</v>
      </c>
      <c r="L598" s="16">
        <v>300</v>
      </c>
      <c r="M598" s="16">
        <f xml:space="preserve"> K598 * L598</f>
        <v>1200</v>
      </c>
      <c r="N598" s="16">
        <f>M598 * $Q$3</f>
        <v>18</v>
      </c>
      <c r="O598" s="16">
        <f>M598 * $Q$4</f>
        <v>24</v>
      </c>
    </row>
    <row r="599" spans="1:15">
      <c r="A599" s="2">
        <v>598</v>
      </c>
      <c r="B599" s="4">
        <f>DAY(E599)</f>
        <v>1</v>
      </c>
      <c r="C599" s="4">
        <f>MONTH(E599)</f>
        <v>8</v>
      </c>
      <c r="D599" s="4">
        <f>YEAR(E599)</f>
        <v>2023</v>
      </c>
      <c r="E599" s="3">
        <v>45139</v>
      </c>
      <c r="F599" s="4" t="s">
        <v>629</v>
      </c>
      <c r="G599" s="4" t="s">
        <v>8</v>
      </c>
      <c r="H599" s="4">
        <v>37</v>
      </c>
      <c r="I599" s="4" t="str" cm="1">
        <f t="array" ref="I599">_xlfn.IFS(H599&lt;30, "Young Adult", H599&lt;50, "Adult", H599&gt;=50, "Senior")</f>
        <v>Adult</v>
      </c>
      <c r="J599" s="4" t="s">
        <v>2</v>
      </c>
      <c r="K599" s="4">
        <v>4</v>
      </c>
      <c r="L599" s="16">
        <v>30</v>
      </c>
      <c r="M599" s="16">
        <f xml:space="preserve"> K599 * L599</f>
        <v>120</v>
      </c>
      <c r="N599" s="16">
        <f>M599 * $Q$3</f>
        <v>1.7999999999999998</v>
      </c>
      <c r="O599" s="16">
        <f>M599 * $Q$4</f>
        <v>2.4</v>
      </c>
    </row>
    <row r="600" spans="1:15">
      <c r="A600" s="2">
        <v>599</v>
      </c>
      <c r="B600" s="4">
        <f>DAY(E600)</f>
        <v>19</v>
      </c>
      <c r="C600" s="4">
        <f>MONTH(E600)</f>
        <v>11</v>
      </c>
      <c r="D600" s="4">
        <f>YEAR(E600)</f>
        <v>2023</v>
      </c>
      <c r="E600" s="3">
        <v>45249</v>
      </c>
      <c r="F600" s="4" t="s">
        <v>630</v>
      </c>
      <c r="G600" s="4" t="s">
        <v>7</v>
      </c>
      <c r="H600" s="4">
        <v>28</v>
      </c>
      <c r="I600" s="4" t="str" cm="1">
        <f t="array" ref="I600">_xlfn.IFS(H600&lt;30, "Young Adult", H600&lt;50, "Adult", H600&gt;=50, "Senior")</f>
        <v>Young Adult</v>
      </c>
      <c r="J600" s="4" t="s">
        <v>2</v>
      </c>
      <c r="K600" s="4">
        <v>2</v>
      </c>
      <c r="L600" s="16">
        <v>50</v>
      </c>
      <c r="M600" s="16">
        <f xml:space="preserve"> K600 * L600</f>
        <v>100</v>
      </c>
      <c r="N600" s="16">
        <f>M600 * $Q$3</f>
        <v>1.5</v>
      </c>
      <c r="O600" s="16">
        <f>M600 * $Q$4</f>
        <v>2</v>
      </c>
    </row>
    <row r="601" spans="1:15">
      <c r="A601" s="2">
        <v>600</v>
      </c>
      <c r="B601" s="4">
        <f>DAY(E601)</f>
        <v>22</v>
      </c>
      <c r="C601" s="4">
        <f>MONTH(E601)</f>
        <v>10</v>
      </c>
      <c r="D601" s="4">
        <f>YEAR(E601)</f>
        <v>2023</v>
      </c>
      <c r="E601" s="3">
        <v>45221</v>
      </c>
      <c r="F601" s="4" t="s">
        <v>631</v>
      </c>
      <c r="G601" s="4" t="s">
        <v>7</v>
      </c>
      <c r="H601" s="4">
        <v>59</v>
      </c>
      <c r="I601" s="4" t="str" cm="1">
        <f t="array" ref="I601">_xlfn.IFS(H601&lt;30, "Young Adult", H601&lt;50, "Adult", H601&gt;=50, "Senior")</f>
        <v>Senior</v>
      </c>
      <c r="J601" s="4" t="s">
        <v>2</v>
      </c>
      <c r="K601" s="4">
        <v>2</v>
      </c>
      <c r="L601" s="16">
        <v>500</v>
      </c>
      <c r="M601" s="16">
        <f xml:space="preserve"> K601 * L601</f>
        <v>1000</v>
      </c>
      <c r="N601" s="16">
        <f>M601 * $Q$3</f>
        <v>15</v>
      </c>
      <c r="O601" s="16">
        <f>M601 * $Q$4</f>
        <v>20</v>
      </c>
    </row>
    <row r="602" spans="1:15">
      <c r="A602" s="2">
        <v>601</v>
      </c>
      <c r="B602" s="4">
        <f>DAY(E602)</f>
        <v>10</v>
      </c>
      <c r="C602" s="4">
        <f>MONTH(E602)</f>
        <v>4</v>
      </c>
      <c r="D602" s="4">
        <f>YEAR(E602)</f>
        <v>2023</v>
      </c>
      <c r="E602" s="3">
        <v>45026</v>
      </c>
      <c r="F602" s="4" t="s">
        <v>632</v>
      </c>
      <c r="G602" s="4" t="s">
        <v>8</v>
      </c>
      <c r="H602" s="4">
        <v>19</v>
      </c>
      <c r="I602" s="4" t="str" cm="1">
        <f t="array" ref="I602">_xlfn.IFS(H602&lt;30, "Young Adult", H602&lt;50, "Adult", H602&gt;=50, "Senior")</f>
        <v>Young Adult</v>
      </c>
      <c r="J602" s="4" t="s">
        <v>3</v>
      </c>
      <c r="K602" s="4">
        <v>1</v>
      </c>
      <c r="L602" s="16">
        <v>30</v>
      </c>
      <c r="M602" s="16">
        <f xml:space="preserve"> K602 * L602</f>
        <v>30</v>
      </c>
      <c r="N602" s="16">
        <f>M602 * $Q$3</f>
        <v>0.44999999999999996</v>
      </c>
      <c r="O602" s="16">
        <f>M602 * $Q$4</f>
        <v>0.6</v>
      </c>
    </row>
    <row r="603" spans="1:15">
      <c r="A603" s="2">
        <v>602</v>
      </c>
      <c r="B603" s="4">
        <f>DAY(E603)</f>
        <v>23</v>
      </c>
      <c r="C603" s="4">
        <f>MONTH(E603)</f>
        <v>12</v>
      </c>
      <c r="D603" s="4">
        <f>YEAR(E603)</f>
        <v>2023</v>
      </c>
      <c r="E603" s="3">
        <v>45283</v>
      </c>
      <c r="F603" s="4" t="s">
        <v>633</v>
      </c>
      <c r="G603" s="4" t="s">
        <v>7</v>
      </c>
      <c r="H603" s="4">
        <v>20</v>
      </c>
      <c r="I603" s="4" t="str" cm="1">
        <f t="array" ref="I603">_xlfn.IFS(H603&lt;30, "Young Adult", H603&lt;50, "Adult", H603&gt;=50, "Senior")</f>
        <v>Young Adult</v>
      </c>
      <c r="J603" s="4" t="s">
        <v>4</v>
      </c>
      <c r="K603" s="4">
        <v>1</v>
      </c>
      <c r="L603" s="16">
        <v>300</v>
      </c>
      <c r="M603" s="16">
        <f xml:space="preserve"> K603 * L603</f>
        <v>300</v>
      </c>
      <c r="N603" s="16">
        <f>M603 * $Q$3</f>
        <v>4.5</v>
      </c>
      <c r="O603" s="16">
        <f>M603 * $Q$4</f>
        <v>6</v>
      </c>
    </row>
    <row r="604" spans="1:15">
      <c r="A604" s="2">
        <v>603</v>
      </c>
      <c r="B604" s="4">
        <f>DAY(E604)</f>
        <v>16</v>
      </c>
      <c r="C604" s="4">
        <f>MONTH(E604)</f>
        <v>7</v>
      </c>
      <c r="D604" s="4">
        <f>YEAR(E604)</f>
        <v>2023</v>
      </c>
      <c r="E604" s="3">
        <v>45123</v>
      </c>
      <c r="F604" s="4" t="s">
        <v>634</v>
      </c>
      <c r="G604" s="4" t="s">
        <v>7</v>
      </c>
      <c r="H604" s="4">
        <v>40</v>
      </c>
      <c r="I604" s="4" t="str" cm="1">
        <f t="array" ref="I604">_xlfn.IFS(H604&lt;30, "Young Adult", H604&lt;50, "Adult", H604&gt;=50, "Senior")</f>
        <v>Adult</v>
      </c>
      <c r="J604" s="4" t="s">
        <v>3</v>
      </c>
      <c r="K604" s="4">
        <v>3</v>
      </c>
      <c r="L604" s="16">
        <v>30</v>
      </c>
      <c r="M604" s="16">
        <f xml:space="preserve"> K604 * L604</f>
        <v>90</v>
      </c>
      <c r="N604" s="16">
        <f>M604 * $Q$3</f>
        <v>1.3499999999999999</v>
      </c>
      <c r="O604" s="16">
        <f>M604 * $Q$4</f>
        <v>1.8</v>
      </c>
    </row>
    <row r="605" spans="1:15">
      <c r="A605" s="2">
        <v>604</v>
      </c>
      <c r="B605" s="4">
        <f>DAY(E605)</f>
        <v>11</v>
      </c>
      <c r="C605" s="4">
        <f>MONTH(E605)</f>
        <v>9</v>
      </c>
      <c r="D605" s="4">
        <f>YEAR(E605)</f>
        <v>2023</v>
      </c>
      <c r="E605" s="3">
        <v>45180</v>
      </c>
      <c r="F605" s="4" t="s">
        <v>635</v>
      </c>
      <c r="G605" s="4" t="s">
        <v>7</v>
      </c>
      <c r="H605" s="4">
        <v>29</v>
      </c>
      <c r="I605" s="4" t="str" cm="1">
        <f t="array" ref="I605">_xlfn.IFS(H605&lt;30, "Young Adult", H605&lt;50, "Adult", H605&gt;=50, "Senior")</f>
        <v>Young Adult</v>
      </c>
      <c r="J605" s="4" t="s">
        <v>4</v>
      </c>
      <c r="K605" s="4">
        <v>4</v>
      </c>
      <c r="L605" s="16">
        <v>50</v>
      </c>
      <c r="M605" s="16">
        <f xml:space="preserve"> K605 * L605</f>
        <v>200</v>
      </c>
      <c r="N605" s="16">
        <f>M605 * $Q$3</f>
        <v>3</v>
      </c>
      <c r="O605" s="16">
        <f>M605 * $Q$4</f>
        <v>4</v>
      </c>
    </row>
    <row r="606" spans="1:15">
      <c r="A606" s="2">
        <v>605</v>
      </c>
      <c r="B606" s="4">
        <f>DAY(E606)</f>
        <v>24</v>
      </c>
      <c r="C606" s="4">
        <f>MONTH(E606)</f>
        <v>7</v>
      </c>
      <c r="D606" s="4">
        <f>YEAR(E606)</f>
        <v>2023</v>
      </c>
      <c r="E606" s="3">
        <v>45131</v>
      </c>
      <c r="F606" s="4" t="s">
        <v>636</v>
      </c>
      <c r="G606" s="4" t="s">
        <v>8</v>
      </c>
      <c r="H606" s="4">
        <v>37</v>
      </c>
      <c r="I606" s="4" t="str" cm="1">
        <f t="array" ref="I606">_xlfn.IFS(H606&lt;30, "Young Adult", H606&lt;50, "Adult", H606&gt;=50, "Senior")</f>
        <v>Adult</v>
      </c>
      <c r="J606" s="4" t="s">
        <v>4</v>
      </c>
      <c r="K606" s="4">
        <v>2</v>
      </c>
      <c r="L606" s="16">
        <v>500</v>
      </c>
      <c r="M606" s="16">
        <f xml:space="preserve"> K606 * L606</f>
        <v>1000</v>
      </c>
      <c r="N606" s="16">
        <f>M606 * $Q$3</f>
        <v>15</v>
      </c>
      <c r="O606" s="16">
        <f>M606 * $Q$4</f>
        <v>20</v>
      </c>
    </row>
    <row r="607" spans="1:15">
      <c r="A607" s="2">
        <v>606</v>
      </c>
      <c r="B607" s="4">
        <f>DAY(E607)</f>
        <v>5</v>
      </c>
      <c r="C607" s="4">
        <f>MONTH(E607)</f>
        <v>5</v>
      </c>
      <c r="D607" s="4">
        <f>YEAR(E607)</f>
        <v>2023</v>
      </c>
      <c r="E607" s="3">
        <v>45051</v>
      </c>
      <c r="F607" s="4" t="s">
        <v>637</v>
      </c>
      <c r="G607" s="4" t="s">
        <v>8</v>
      </c>
      <c r="H607" s="4">
        <v>22</v>
      </c>
      <c r="I607" s="4" t="str" cm="1">
        <f t="array" ref="I607">_xlfn.IFS(H607&lt;30, "Young Adult", H607&lt;50, "Adult", H607&gt;=50, "Senior")</f>
        <v>Young Adult</v>
      </c>
      <c r="J607" s="4" t="s">
        <v>4</v>
      </c>
      <c r="K607" s="4">
        <v>1</v>
      </c>
      <c r="L607" s="16">
        <v>50</v>
      </c>
      <c r="M607" s="16">
        <f xml:space="preserve"> K607 * L607</f>
        <v>50</v>
      </c>
      <c r="N607" s="16">
        <f>M607 * $Q$3</f>
        <v>0.75</v>
      </c>
      <c r="O607" s="16">
        <f>M607 * $Q$4</f>
        <v>1</v>
      </c>
    </row>
    <row r="608" spans="1:15">
      <c r="A608" s="2">
        <v>607</v>
      </c>
      <c r="B608" s="4">
        <f>DAY(E608)</f>
        <v>17</v>
      </c>
      <c r="C608" s="4">
        <f>MONTH(E608)</f>
        <v>3</v>
      </c>
      <c r="D608" s="4">
        <f>YEAR(E608)</f>
        <v>2023</v>
      </c>
      <c r="E608" s="3">
        <v>45002</v>
      </c>
      <c r="F608" s="4" t="s">
        <v>638</v>
      </c>
      <c r="G608" s="4" t="s">
        <v>8</v>
      </c>
      <c r="H608" s="4">
        <v>54</v>
      </c>
      <c r="I608" s="4" t="str" cm="1">
        <f t="array" ref="I608">_xlfn.IFS(H608&lt;30, "Young Adult", H608&lt;50, "Adult", H608&gt;=50, "Senior")</f>
        <v>Senior</v>
      </c>
      <c r="J608" s="4" t="s">
        <v>3</v>
      </c>
      <c r="K608" s="4">
        <v>3</v>
      </c>
      <c r="L608" s="16">
        <v>25</v>
      </c>
      <c r="M608" s="16">
        <f xml:space="preserve"> K608 * L608</f>
        <v>75</v>
      </c>
      <c r="N608" s="16">
        <f>M608 * $Q$3</f>
        <v>1.125</v>
      </c>
      <c r="O608" s="16">
        <f>M608 * $Q$4</f>
        <v>1.5</v>
      </c>
    </row>
    <row r="609" spans="1:17">
      <c r="A609" s="2">
        <v>608</v>
      </c>
      <c r="B609" s="4">
        <f>DAY(E609)</f>
        <v>2</v>
      </c>
      <c r="C609" s="4">
        <f>MONTH(E609)</f>
        <v>12</v>
      </c>
      <c r="D609" s="4">
        <f>YEAR(E609)</f>
        <v>2023</v>
      </c>
      <c r="E609" s="3">
        <v>45262</v>
      </c>
      <c r="F609" s="4" t="s">
        <v>639</v>
      </c>
      <c r="G609" s="4" t="s">
        <v>7</v>
      </c>
      <c r="H609" s="4">
        <v>55</v>
      </c>
      <c r="I609" s="4" t="str" cm="1">
        <f t="array" ref="I609">_xlfn.IFS(H609&lt;30, "Young Adult", H609&lt;50, "Adult", H609&gt;=50, "Senior")</f>
        <v>Senior</v>
      </c>
      <c r="J609" s="4" t="s">
        <v>4</v>
      </c>
      <c r="K609" s="4">
        <v>3</v>
      </c>
      <c r="L609" s="16">
        <v>500</v>
      </c>
      <c r="M609" s="16">
        <f xml:space="preserve"> K609 * L609</f>
        <v>1500</v>
      </c>
      <c r="N609" s="16">
        <f>M609 * $Q$3</f>
        <v>22.5</v>
      </c>
      <c r="O609" s="16">
        <f>M609 * $Q$4</f>
        <v>30</v>
      </c>
    </row>
    <row r="610" spans="1:17">
      <c r="A610" s="2">
        <v>609</v>
      </c>
      <c r="B610" s="4">
        <f>DAY(E610)</f>
        <v>19</v>
      </c>
      <c r="C610" s="4">
        <f>MONTH(E610)</f>
        <v>12</v>
      </c>
      <c r="D610" s="4">
        <f>YEAR(E610)</f>
        <v>2023</v>
      </c>
      <c r="E610" s="3">
        <v>45279</v>
      </c>
      <c r="F610" s="4" t="s">
        <v>640</v>
      </c>
      <c r="G610" s="4" t="s">
        <v>7</v>
      </c>
      <c r="H610" s="4">
        <v>47</v>
      </c>
      <c r="I610" s="4" t="str" cm="1">
        <f t="array" ref="I610">_xlfn.IFS(H610&lt;30, "Young Adult", H610&lt;50, "Adult", H610&gt;=50, "Senior")</f>
        <v>Adult</v>
      </c>
      <c r="J610" s="4" t="s">
        <v>3</v>
      </c>
      <c r="K610" s="4">
        <v>2</v>
      </c>
      <c r="L610" s="16">
        <v>50</v>
      </c>
      <c r="M610" s="16">
        <f xml:space="preserve"> K610 * L610</f>
        <v>100</v>
      </c>
      <c r="N610" s="16">
        <f>M610 * $Q$3</f>
        <v>1.5</v>
      </c>
      <c r="O610" s="16">
        <f>M610 * $Q$4</f>
        <v>2</v>
      </c>
    </row>
    <row r="611" spans="1:17">
      <c r="A611" s="2">
        <v>610</v>
      </c>
      <c r="B611" s="4">
        <f>DAY(E611)</f>
        <v>3</v>
      </c>
      <c r="C611" s="4">
        <f>MONTH(E611)</f>
        <v>1</v>
      </c>
      <c r="D611" s="4">
        <f>YEAR(E611)</f>
        <v>2023</v>
      </c>
      <c r="E611" s="3">
        <v>44929</v>
      </c>
      <c r="F611" s="4" t="s">
        <v>641</v>
      </c>
      <c r="G611" s="4" t="s">
        <v>7</v>
      </c>
      <c r="H611" s="4">
        <v>26</v>
      </c>
      <c r="I611" s="4" t="str" cm="1">
        <f t="array" ref="I611">_xlfn.IFS(H611&lt;30, "Young Adult", H611&lt;50, "Adult", H611&gt;=50, "Senior")</f>
        <v>Young Adult</v>
      </c>
      <c r="J611" s="4" t="s">
        <v>2</v>
      </c>
      <c r="K611" s="4">
        <v>2</v>
      </c>
      <c r="L611" s="16">
        <v>300</v>
      </c>
      <c r="M611" s="16">
        <f xml:space="preserve"> K611 * L611</f>
        <v>600</v>
      </c>
      <c r="N611" s="16">
        <f>M611 * $Q$3</f>
        <v>9</v>
      </c>
      <c r="O611" s="16">
        <f>M611 * $Q$4</f>
        <v>12</v>
      </c>
      <c r="P611" t="s">
        <v>2</v>
      </c>
      <c r="Q611">
        <f>SUMIF(J:J, "Beauty", M:M)</f>
        <v>143515</v>
      </c>
    </row>
    <row r="612" spans="1:17">
      <c r="A612" s="2">
        <v>611</v>
      </c>
      <c r="B612" s="4">
        <f>DAY(E612)</f>
        <v>24</v>
      </c>
      <c r="C612" s="4">
        <f>MONTH(E612)</f>
        <v>2</v>
      </c>
      <c r="D612" s="4">
        <f>YEAR(E612)</f>
        <v>2023</v>
      </c>
      <c r="E612" s="3">
        <v>44981</v>
      </c>
      <c r="F612" s="4" t="s">
        <v>642</v>
      </c>
      <c r="G612" s="4" t="s">
        <v>8</v>
      </c>
      <c r="H612" s="4">
        <v>51</v>
      </c>
      <c r="I612" s="4" t="str" cm="1">
        <f t="array" ref="I612">_xlfn.IFS(H612&lt;30, "Young Adult", H612&lt;50, "Adult", H612&gt;=50, "Senior")</f>
        <v>Senior</v>
      </c>
      <c r="J612" s="4" t="s">
        <v>2</v>
      </c>
      <c r="K612" s="4">
        <v>3</v>
      </c>
      <c r="L612" s="16">
        <v>500</v>
      </c>
      <c r="M612" s="16">
        <f xml:space="preserve"> K612 * L612</f>
        <v>1500</v>
      </c>
      <c r="N612" s="16">
        <f>M612 * $Q$3</f>
        <v>22.5</v>
      </c>
      <c r="O612" s="16">
        <f>M612 * $Q$4</f>
        <v>30</v>
      </c>
    </row>
    <row r="613" spans="1:17">
      <c r="A613" s="2">
        <v>612</v>
      </c>
      <c r="B613" s="4">
        <f>DAY(E613)</f>
        <v>6</v>
      </c>
      <c r="C613" s="4">
        <f>MONTH(E613)</f>
        <v>8</v>
      </c>
      <c r="D613" s="4">
        <f>YEAR(E613)</f>
        <v>2023</v>
      </c>
      <c r="E613" s="3">
        <v>45144</v>
      </c>
      <c r="F613" s="4" t="s">
        <v>643</v>
      </c>
      <c r="G613" s="4" t="s">
        <v>7</v>
      </c>
      <c r="H613" s="4">
        <v>61</v>
      </c>
      <c r="I613" s="4" t="str" cm="1">
        <f t="array" ref="I613">_xlfn.IFS(H613&lt;30, "Young Adult", H613&lt;50, "Adult", H613&gt;=50, "Senior")</f>
        <v>Senior</v>
      </c>
      <c r="J613" s="4" t="s">
        <v>4</v>
      </c>
      <c r="K613" s="4">
        <v>1</v>
      </c>
      <c r="L613" s="16">
        <v>500</v>
      </c>
      <c r="M613" s="16">
        <f xml:space="preserve"> K613 * L613</f>
        <v>500</v>
      </c>
      <c r="N613" s="16">
        <f>M613 * $Q$3</f>
        <v>7.5</v>
      </c>
      <c r="O613" s="16">
        <f>M613 * $Q$4</f>
        <v>10</v>
      </c>
    </row>
    <row r="614" spans="1:17">
      <c r="A614" s="2">
        <v>613</v>
      </c>
      <c r="B614" s="4">
        <f>DAY(E614)</f>
        <v>23</v>
      </c>
      <c r="C614" s="4">
        <f>MONTH(E614)</f>
        <v>4</v>
      </c>
      <c r="D614" s="4">
        <f>YEAR(E614)</f>
        <v>2023</v>
      </c>
      <c r="E614" s="3">
        <v>45039</v>
      </c>
      <c r="F614" s="4" t="s">
        <v>644</v>
      </c>
      <c r="G614" s="4" t="s">
        <v>7</v>
      </c>
      <c r="H614" s="4">
        <v>52</v>
      </c>
      <c r="I614" s="4" t="str" cm="1">
        <f t="array" ref="I614">_xlfn.IFS(H614&lt;30, "Young Adult", H614&lt;50, "Adult", H614&gt;=50, "Senior")</f>
        <v>Senior</v>
      </c>
      <c r="J614" s="4" t="s">
        <v>3</v>
      </c>
      <c r="K614" s="4">
        <v>3</v>
      </c>
      <c r="L614" s="16">
        <v>30</v>
      </c>
      <c r="M614" s="16">
        <f xml:space="preserve"> K614 * L614</f>
        <v>90</v>
      </c>
      <c r="N614" s="16">
        <f>M614 * $Q$3</f>
        <v>1.3499999999999999</v>
      </c>
      <c r="O614" s="16">
        <f>M614 * $Q$4</f>
        <v>1.8</v>
      </c>
    </row>
    <row r="615" spans="1:17">
      <c r="A615" s="2">
        <v>614</v>
      </c>
      <c r="B615" s="4">
        <f>DAY(E615)</f>
        <v>1</v>
      </c>
      <c r="C615" s="4">
        <f>MONTH(E615)</f>
        <v>4</v>
      </c>
      <c r="D615" s="4">
        <f>YEAR(E615)</f>
        <v>2023</v>
      </c>
      <c r="E615" s="3">
        <v>45017</v>
      </c>
      <c r="F615" s="4" t="s">
        <v>645</v>
      </c>
      <c r="G615" s="4" t="s">
        <v>7</v>
      </c>
      <c r="H615" s="4">
        <v>39</v>
      </c>
      <c r="I615" s="4" t="str" cm="1">
        <f t="array" ref="I615">_xlfn.IFS(H615&lt;30, "Young Adult", H615&lt;50, "Adult", H615&gt;=50, "Senior")</f>
        <v>Adult</v>
      </c>
      <c r="J615" s="4" t="s">
        <v>2</v>
      </c>
      <c r="K615" s="4">
        <v>4</v>
      </c>
      <c r="L615" s="16">
        <v>300</v>
      </c>
      <c r="M615" s="16">
        <f xml:space="preserve"> K615 * L615</f>
        <v>1200</v>
      </c>
      <c r="N615" s="16">
        <f>M615 * $Q$3</f>
        <v>18</v>
      </c>
      <c r="O615" s="16">
        <f>M615 * $Q$4</f>
        <v>24</v>
      </c>
    </row>
    <row r="616" spans="1:17">
      <c r="A616" s="2">
        <v>615</v>
      </c>
      <c r="B616" s="4">
        <f>DAY(E616)</f>
        <v>23</v>
      </c>
      <c r="C616" s="4">
        <f>MONTH(E616)</f>
        <v>12</v>
      </c>
      <c r="D616" s="4">
        <f>YEAR(E616)</f>
        <v>2023</v>
      </c>
      <c r="E616" s="3">
        <v>45283</v>
      </c>
      <c r="F616" s="4" t="s">
        <v>646</v>
      </c>
      <c r="G616" s="4" t="s">
        <v>7</v>
      </c>
      <c r="H616" s="4">
        <v>61</v>
      </c>
      <c r="I616" s="4" t="str" cm="1">
        <f t="array" ref="I616">_xlfn.IFS(H616&lt;30, "Young Adult", H616&lt;50, "Adult", H616&gt;=50, "Senior")</f>
        <v>Senior</v>
      </c>
      <c r="J616" s="4" t="s">
        <v>3</v>
      </c>
      <c r="K616" s="4">
        <v>4</v>
      </c>
      <c r="L616" s="16">
        <v>25</v>
      </c>
      <c r="M616" s="16">
        <f xml:space="preserve"> K616 * L616</f>
        <v>100</v>
      </c>
      <c r="N616" s="16">
        <f>M616 * $Q$3</f>
        <v>1.5</v>
      </c>
      <c r="O616" s="16">
        <f>M616 * $Q$4</f>
        <v>2</v>
      </c>
    </row>
    <row r="617" spans="1:17">
      <c r="A617" s="2">
        <v>616</v>
      </c>
      <c r="B617" s="4">
        <f>DAY(E617)</f>
        <v>23</v>
      </c>
      <c r="C617" s="4">
        <f>MONTH(E617)</f>
        <v>9</v>
      </c>
      <c r="D617" s="4">
        <f>YEAR(E617)</f>
        <v>2023</v>
      </c>
      <c r="E617" s="3">
        <v>45192</v>
      </c>
      <c r="F617" s="4" t="s">
        <v>647</v>
      </c>
      <c r="G617" s="4" t="s">
        <v>8</v>
      </c>
      <c r="H617" s="4">
        <v>41</v>
      </c>
      <c r="I617" s="4" t="str" cm="1">
        <f t="array" ref="I617">_xlfn.IFS(H617&lt;30, "Young Adult", H617&lt;50, "Adult", H617&gt;=50, "Senior")</f>
        <v>Adult</v>
      </c>
      <c r="J617" s="4" t="s">
        <v>3</v>
      </c>
      <c r="K617" s="4">
        <v>2</v>
      </c>
      <c r="L617" s="16">
        <v>50</v>
      </c>
      <c r="M617" s="16">
        <f xml:space="preserve"> K617 * L617</f>
        <v>100</v>
      </c>
      <c r="N617" s="16">
        <f>M617 * $Q$3</f>
        <v>1.5</v>
      </c>
      <c r="O617" s="16">
        <f>M617 * $Q$4</f>
        <v>2</v>
      </c>
    </row>
    <row r="618" spans="1:17">
      <c r="A618" s="2">
        <v>617</v>
      </c>
      <c r="B618" s="4">
        <f>DAY(E618)</f>
        <v>26</v>
      </c>
      <c r="C618" s="4">
        <f>MONTH(E618)</f>
        <v>8</v>
      </c>
      <c r="D618" s="4">
        <f>YEAR(E618)</f>
        <v>2023</v>
      </c>
      <c r="E618" s="3">
        <v>45164</v>
      </c>
      <c r="F618" s="4" t="s">
        <v>648</v>
      </c>
      <c r="G618" s="4" t="s">
        <v>8</v>
      </c>
      <c r="H618" s="4">
        <v>34</v>
      </c>
      <c r="I618" s="4" t="str" cm="1">
        <f t="array" ref="I618">_xlfn.IFS(H618&lt;30, "Young Adult", H618&lt;50, "Adult", H618&gt;=50, "Senior")</f>
        <v>Adult</v>
      </c>
      <c r="J618" s="4" t="s">
        <v>4</v>
      </c>
      <c r="K618" s="4">
        <v>1</v>
      </c>
      <c r="L618" s="16">
        <v>30</v>
      </c>
      <c r="M618" s="16">
        <f xml:space="preserve"> K618 * L618</f>
        <v>30</v>
      </c>
      <c r="N618" s="16">
        <f>M618 * $Q$3</f>
        <v>0.44999999999999996</v>
      </c>
      <c r="O618" s="16">
        <f>M618 * $Q$4</f>
        <v>0.6</v>
      </c>
    </row>
    <row r="619" spans="1:17">
      <c r="A619" s="2">
        <v>618</v>
      </c>
      <c r="B619" s="4">
        <f>DAY(E619)</f>
        <v>26</v>
      </c>
      <c r="C619" s="4">
        <f>MONTH(E619)</f>
        <v>1</v>
      </c>
      <c r="D619" s="4">
        <f>YEAR(E619)</f>
        <v>2023</v>
      </c>
      <c r="E619" s="3">
        <v>44952</v>
      </c>
      <c r="F619" s="4" t="s">
        <v>649</v>
      </c>
      <c r="G619" s="4" t="s">
        <v>7</v>
      </c>
      <c r="H619" s="4">
        <v>27</v>
      </c>
      <c r="I619" s="4" t="str" cm="1">
        <f t="array" ref="I619">_xlfn.IFS(H619&lt;30, "Young Adult", H619&lt;50, "Adult", H619&gt;=50, "Senior")</f>
        <v>Young Adult</v>
      </c>
      <c r="J619" s="4" t="s">
        <v>2</v>
      </c>
      <c r="K619" s="4">
        <v>1</v>
      </c>
      <c r="L619" s="16">
        <v>50</v>
      </c>
      <c r="M619" s="16">
        <f xml:space="preserve"> K619 * L619</f>
        <v>50</v>
      </c>
      <c r="N619" s="16">
        <f>M619 * $Q$3</f>
        <v>0.75</v>
      </c>
      <c r="O619" s="16">
        <f>M619 * $Q$4</f>
        <v>1</v>
      </c>
    </row>
    <row r="620" spans="1:17">
      <c r="A620" s="2">
        <v>619</v>
      </c>
      <c r="B620" s="4">
        <f>DAY(E620)</f>
        <v>13</v>
      </c>
      <c r="C620" s="4">
        <f>MONTH(E620)</f>
        <v>10</v>
      </c>
      <c r="D620" s="4">
        <f>YEAR(E620)</f>
        <v>2023</v>
      </c>
      <c r="E620" s="3">
        <v>45212</v>
      </c>
      <c r="F620" s="4" t="s">
        <v>650</v>
      </c>
      <c r="G620" s="4" t="s">
        <v>8</v>
      </c>
      <c r="H620" s="4">
        <v>47</v>
      </c>
      <c r="I620" s="4" t="str" cm="1">
        <f t="array" ref="I620">_xlfn.IFS(H620&lt;30, "Young Adult", H620&lt;50, "Adult", H620&gt;=50, "Senior")</f>
        <v>Adult</v>
      </c>
      <c r="J620" s="4" t="s">
        <v>4</v>
      </c>
      <c r="K620" s="4">
        <v>4</v>
      </c>
      <c r="L620" s="16">
        <v>25</v>
      </c>
      <c r="M620" s="16">
        <f xml:space="preserve"> K620 * L620</f>
        <v>100</v>
      </c>
      <c r="N620" s="16">
        <f>M620 * $Q$3</f>
        <v>1.5</v>
      </c>
      <c r="O620" s="16">
        <f>M620 * $Q$4</f>
        <v>2</v>
      </c>
    </row>
    <row r="621" spans="1:17">
      <c r="A621" s="2">
        <v>620</v>
      </c>
      <c r="B621" s="4">
        <f>DAY(E621)</f>
        <v>8</v>
      </c>
      <c r="C621" s="4">
        <f>MONTH(E621)</f>
        <v>5</v>
      </c>
      <c r="D621" s="4">
        <f>YEAR(E621)</f>
        <v>2023</v>
      </c>
      <c r="E621" s="3">
        <v>45054</v>
      </c>
      <c r="F621" s="4" t="s">
        <v>651</v>
      </c>
      <c r="G621" s="4" t="s">
        <v>8</v>
      </c>
      <c r="H621" s="4">
        <v>63</v>
      </c>
      <c r="I621" s="4" t="str" cm="1">
        <f t="array" ref="I621">_xlfn.IFS(H621&lt;30, "Young Adult", H621&lt;50, "Adult", H621&gt;=50, "Senior")</f>
        <v>Senior</v>
      </c>
      <c r="J621" s="4" t="s">
        <v>4</v>
      </c>
      <c r="K621" s="4">
        <v>3</v>
      </c>
      <c r="L621" s="16">
        <v>25</v>
      </c>
      <c r="M621" s="16">
        <f xml:space="preserve"> K621 * L621</f>
        <v>75</v>
      </c>
      <c r="N621" s="16">
        <f>M621 * $Q$3</f>
        <v>1.125</v>
      </c>
      <c r="O621" s="16">
        <f>M621 * $Q$4</f>
        <v>1.5</v>
      </c>
    </row>
    <row r="622" spans="1:17">
      <c r="A622" s="2">
        <v>621</v>
      </c>
      <c r="B622" s="4">
        <f>DAY(E622)</f>
        <v>4</v>
      </c>
      <c r="C622" s="4">
        <f>MONTH(E622)</f>
        <v>3</v>
      </c>
      <c r="D622" s="4">
        <f>YEAR(E622)</f>
        <v>2023</v>
      </c>
      <c r="E622" s="3">
        <v>44989</v>
      </c>
      <c r="F622" s="4" t="s">
        <v>652</v>
      </c>
      <c r="G622" s="4" t="s">
        <v>7</v>
      </c>
      <c r="H622" s="4">
        <v>40</v>
      </c>
      <c r="I622" s="4" t="str" cm="1">
        <f t="array" ref="I622">_xlfn.IFS(H622&lt;30, "Young Adult", H622&lt;50, "Adult", H622&gt;=50, "Senior")</f>
        <v>Adult</v>
      </c>
      <c r="J622" s="4" t="s">
        <v>2</v>
      </c>
      <c r="K622" s="4">
        <v>2</v>
      </c>
      <c r="L622" s="16">
        <v>500</v>
      </c>
      <c r="M622" s="16">
        <f xml:space="preserve"> K622 * L622</f>
        <v>1000</v>
      </c>
      <c r="N622" s="16">
        <f>M622 * $Q$3</f>
        <v>15</v>
      </c>
      <c r="O622" s="16">
        <f>M622 * $Q$4</f>
        <v>20</v>
      </c>
    </row>
    <row r="623" spans="1:17">
      <c r="A623" s="2">
        <v>622</v>
      </c>
      <c r="B623" s="4">
        <f>DAY(E623)</f>
        <v>22</v>
      </c>
      <c r="C623" s="4">
        <f>MONTH(E623)</f>
        <v>8</v>
      </c>
      <c r="D623" s="4">
        <f>YEAR(E623)</f>
        <v>2023</v>
      </c>
      <c r="E623" s="3">
        <v>45160</v>
      </c>
      <c r="F623" s="4" t="s">
        <v>653</v>
      </c>
      <c r="G623" s="4" t="s">
        <v>7</v>
      </c>
      <c r="H623" s="4">
        <v>49</v>
      </c>
      <c r="I623" s="4" t="str" cm="1">
        <f t="array" ref="I623">_xlfn.IFS(H623&lt;30, "Young Adult", H623&lt;50, "Adult", H623&gt;=50, "Senior")</f>
        <v>Adult</v>
      </c>
      <c r="J623" s="4" t="s">
        <v>2</v>
      </c>
      <c r="K623" s="4">
        <v>3</v>
      </c>
      <c r="L623" s="16">
        <v>25</v>
      </c>
      <c r="M623" s="16">
        <f xml:space="preserve"> K623 * L623</f>
        <v>75</v>
      </c>
      <c r="N623" s="16">
        <f>M623 * $Q$3</f>
        <v>1.125</v>
      </c>
      <c r="O623" s="16">
        <f>M623 * $Q$4</f>
        <v>1.5</v>
      </c>
    </row>
    <row r="624" spans="1:17">
      <c r="A624" s="2">
        <v>623</v>
      </c>
      <c r="B624" s="4">
        <f>DAY(E624)</f>
        <v>10</v>
      </c>
      <c r="C624" s="4">
        <f>MONTH(E624)</f>
        <v>3</v>
      </c>
      <c r="D624" s="4">
        <f>YEAR(E624)</f>
        <v>2023</v>
      </c>
      <c r="E624" s="3">
        <v>44995</v>
      </c>
      <c r="F624" s="4" t="s">
        <v>654</v>
      </c>
      <c r="G624" s="4" t="s">
        <v>8</v>
      </c>
      <c r="H624" s="4">
        <v>34</v>
      </c>
      <c r="I624" s="4" t="str" cm="1">
        <f t="array" ref="I624">_xlfn.IFS(H624&lt;30, "Young Adult", H624&lt;50, "Adult", H624&gt;=50, "Senior")</f>
        <v>Adult</v>
      </c>
      <c r="J624" s="4" t="s">
        <v>3</v>
      </c>
      <c r="K624" s="4">
        <v>3</v>
      </c>
      <c r="L624" s="16">
        <v>50</v>
      </c>
      <c r="M624" s="16">
        <f xml:space="preserve"> K624 * L624</f>
        <v>150</v>
      </c>
      <c r="N624" s="16">
        <f>M624 * $Q$3</f>
        <v>2.25</v>
      </c>
      <c r="O624" s="16">
        <f>M624 * $Q$4</f>
        <v>3</v>
      </c>
    </row>
    <row r="625" spans="1:15">
      <c r="A625" s="2">
        <v>624</v>
      </c>
      <c r="B625" s="4">
        <f>DAY(E625)</f>
        <v>26</v>
      </c>
      <c r="C625" s="4">
        <f>MONTH(E625)</f>
        <v>8</v>
      </c>
      <c r="D625" s="4">
        <f>YEAR(E625)</f>
        <v>2023</v>
      </c>
      <c r="E625" s="3">
        <v>45164</v>
      </c>
      <c r="F625" s="4" t="s">
        <v>655</v>
      </c>
      <c r="G625" s="4" t="s">
        <v>7</v>
      </c>
      <c r="H625" s="4">
        <v>34</v>
      </c>
      <c r="I625" s="4" t="str" cm="1">
        <f t="array" ref="I625">_xlfn.IFS(H625&lt;30, "Young Adult", H625&lt;50, "Adult", H625&gt;=50, "Senior")</f>
        <v>Adult</v>
      </c>
      <c r="J625" s="4" t="s">
        <v>2</v>
      </c>
      <c r="K625" s="4">
        <v>3</v>
      </c>
      <c r="L625" s="16">
        <v>300</v>
      </c>
      <c r="M625" s="16">
        <f xml:space="preserve"> K625 * L625</f>
        <v>900</v>
      </c>
      <c r="N625" s="16">
        <f>M625 * $Q$3</f>
        <v>13.5</v>
      </c>
      <c r="O625" s="16">
        <f>M625 * $Q$4</f>
        <v>18</v>
      </c>
    </row>
    <row r="626" spans="1:15">
      <c r="A626" s="2">
        <v>625</v>
      </c>
      <c r="B626" s="4">
        <f>DAY(E626)</f>
        <v>8</v>
      </c>
      <c r="C626" s="4">
        <f>MONTH(E626)</f>
        <v>12</v>
      </c>
      <c r="D626" s="4">
        <f>YEAR(E626)</f>
        <v>2023</v>
      </c>
      <c r="E626" s="3">
        <v>45268</v>
      </c>
      <c r="F626" s="4" t="s">
        <v>656</v>
      </c>
      <c r="G626" s="4" t="s">
        <v>8</v>
      </c>
      <c r="H626" s="4">
        <v>31</v>
      </c>
      <c r="I626" s="4" t="str" cm="1">
        <f t="array" ref="I626">_xlfn.IFS(H626&lt;30, "Young Adult", H626&lt;50, "Adult", H626&gt;=50, "Senior")</f>
        <v>Adult</v>
      </c>
      <c r="J626" s="4" t="s">
        <v>3</v>
      </c>
      <c r="K626" s="4">
        <v>1</v>
      </c>
      <c r="L626" s="16">
        <v>300</v>
      </c>
      <c r="M626" s="16">
        <f xml:space="preserve"> K626 * L626</f>
        <v>300</v>
      </c>
      <c r="N626" s="16">
        <f>M626 * $Q$3</f>
        <v>4.5</v>
      </c>
      <c r="O626" s="16">
        <f>M626 * $Q$4</f>
        <v>6</v>
      </c>
    </row>
    <row r="627" spans="1:15">
      <c r="A627" s="2">
        <v>626</v>
      </c>
      <c r="B627" s="4">
        <f>DAY(E627)</f>
        <v>29</v>
      </c>
      <c r="C627" s="4">
        <f>MONTH(E627)</f>
        <v>9</v>
      </c>
      <c r="D627" s="4">
        <f>YEAR(E627)</f>
        <v>2023</v>
      </c>
      <c r="E627" s="3">
        <v>45198</v>
      </c>
      <c r="F627" s="4" t="s">
        <v>657</v>
      </c>
      <c r="G627" s="4" t="s">
        <v>7</v>
      </c>
      <c r="H627" s="4">
        <v>26</v>
      </c>
      <c r="I627" s="4" t="str" cm="1">
        <f t="array" ref="I627">_xlfn.IFS(H627&lt;30, "Young Adult", H627&lt;50, "Adult", H627&gt;=50, "Senior")</f>
        <v>Young Adult</v>
      </c>
      <c r="J627" s="4" t="s">
        <v>3</v>
      </c>
      <c r="K627" s="4">
        <v>4</v>
      </c>
      <c r="L627" s="16">
        <v>500</v>
      </c>
      <c r="M627" s="16">
        <f xml:space="preserve"> K627 * L627</f>
        <v>2000</v>
      </c>
      <c r="N627" s="16">
        <f>M627 * $Q$3</f>
        <v>30</v>
      </c>
      <c r="O627" s="16">
        <f>M627 * $Q$4</f>
        <v>40</v>
      </c>
    </row>
    <row r="628" spans="1:15">
      <c r="A628" s="2">
        <v>627</v>
      </c>
      <c r="B628" s="4">
        <f>DAY(E628)</f>
        <v>14</v>
      </c>
      <c r="C628" s="4">
        <f>MONTH(E628)</f>
        <v>10</v>
      </c>
      <c r="D628" s="4">
        <f>YEAR(E628)</f>
        <v>2023</v>
      </c>
      <c r="E628" s="3">
        <v>45213</v>
      </c>
      <c r="F628" s="4" t="s">
        <v>658</v>
      </c>
      <c r="G628" s="4" t="s">
        <v>8</v>
      </c>
      <c r="H628" s="4">
        <v>57</v>
      </c>
      <c r="I628" s="4" t="str" cm="1">
        <f t="array" ref="I628">_xlfn.IFS(H628&lt;30, "Young Adult", H628&lt;50, "Adult", H628&gt;=50, "Senior")</f>
        <v>Senior</v>
      </c>
      <c r="J628" s="4" t="s">
        <v>3</v>
      </c>
      <c r="K628" s="4">
        <v>1</v>
      </c>
      <c r="L628" s="16">
        <v>50</v>
      </c>
      <c r="M628" s="16">
        <f xml:space="preserve"> K628 * L628</f>
        <v>50</v>
      </c>
      <c r="N628" s="16">
        <f>M628 * $Q$3</f>
        <v>0.75</v>
      </c>
      <c r="O628" s="16">
        <f>M628 * $Q$4</f>
        <v>1</v>
      </c>
    </row>
    <row r="629" spans="1:15">
      <c r="A629" s="2">
        <v>628</v>
      </c>
      <c r="B629" s="4">
        <f>DAY(E629)</f>
        <v>1</v>
      </c>
      <c r="C629" s="4">
        <f>MONTH(E629)</f>
        <v>11</v>
      </c>
      <c r="D629" s="4">
        <f>YEAR(E629)</f>
        <v>2023</v>
      </c>
      <c r="E629" s="3">
        <v>45231</v>
      </c>
      <c r="F629" s="4" t="s">
        <v>659</v>
      </c>
      <c r="G629" s="4" t="s">
        <v>7</v>
      </c>
      <c r="H629" s="4">
        <v>19</v>
      </c>
      <c r="I629" s="4" t="str" cm="1">
        <f t="array" ref="I629">_xlfn.IFS(H629&lt;30, "Young Adult", H629&lt;50, "Adult", H629&gt;=50, "Senior")</f>
        <v>Young Adult</v>
      </c>
      <c r="J629" s="4" t="s">
        <v>2</v>
      </c>
      <c r="K629" s="4">
        <v>4</v>
      </c>
      <c r="L629" s="16">
        <v>50</v>
      </c>
      <c r="M629" s="16">
        <f xml:space="preserve"> K629 * L629</f>
        <v>200</v>
      </c>
      <c r="N629" s="16">
        <f>M629 * $Q$3</f>
        <v>3</v>
      </c>
      <c r="O629" s="16">
        <f>M629 * $Q$4</f>
        <v>4</v>
      </c>
    </row>
    <row r="630" spans="1:15">
      <c r="A630" s="2">
        <v>629</v>
      </c>
      <c r="B630" s="4">
        <f>DAY(E630)</f>
        <v>12</v>
      </c>
      <c r="C630" s="4">
        <f>MONTH(E630)</f>
        <v>6</v>
      </c>
      <c r="D630" s="4">
        <f>YEAR(E630)</f>
        <v>2023</v>
      </c>
      <c r="E630" s="3">
        <v>45089</v>
      </c>
      <c r="F630" s="4" t="s">
        <v>660</v>
      </c>
      <c r="G630" s="4" t="s">
        <v>8</v>
      </c>
      <c r="H630" s="4">
        <v>62</v>
      </c>
      <c r="I630" s="4" t="str" cm="1">
        <f t="array" ref="I630">_xlfn.IFS(H630&lt;30, "Young Adult", H630&lt;50, "Adult", H630&gt;=50, "Senior")</f>
        <v>Senior</v>
      </c>
      <c r="J630" s="4" t="s">
        <v>4</v>
      </c>
      <c r="K630" s="4">
        <v>2</v>
      </c>
      <c r="L630" s="16">
        <v>25</v>
      </c>
      <c r="M630" s="16">
        <f xml:space="preserve"> K630 * L630</f>
        <v>50</v>
      </c>
      <c r="N630" s="16">
        <f>M630 * $Q$3</f>
        <v>0.75</v>
      </c>
      <c r="O630" s="16">
        <f>M630 * $Q$4</f>
        <v>1</v>
      </c>
    </row>
    <row r="631" spans="1:15">
      <c r="A631" s="2">
        <v>630</v>
      </c>
      <c r="B631" s="4">
        <f>DAY(E631)</f>
        <v>15</v>
      </c>
      <c r="C631" s="4">
        <f>MONTH(E631)</f>
        <v>8</v>
      </c>
      <c r="D631" s="4">
        <f>YEAR(E631)</f>
        <v>2023</v>
      </c>
      <c r="E631" s="3">
        <v>45153</v>
      </c>
      <c r="F631" s="4" t="s">
        <v>661</v>
      </c>
      <c r="G631" s="4" t="s">
        <v>8</v>
      </c>
      <c r="H631" s="4">
        <v>42</v>
      </c>
      <c r="I631" s="4" t="str" cm="1">
        <f t="array" ref="I631">_xlfn.IFS(H631&lt;30, "Young Adult", H631&lt;50, "Adult", H631&gt;=50, "Senior")</f>
        <v>Adult</v>
      </c>
      <c r="J631" s="4" t="s">
        <v>3</v>
      </c>
      <c r="K631" s="4">
        <v>2</v>
      </c>
      <c r="L631" s="16">
        <v>50</v>
      </c>
      <c r="M631" s="16">
        <f xml:space="preserve"> K631 * L631</f>
        <v>100</v>
      </c>
      <c r="N631" s="16">
        <f>M631 * $Q$3</f>
        <v>1.5</v>
      </c>
      <c r="O631" s="16">
        <f>M631 * $Q$4</f>
        <v>2</v>
      </c>
    </row>
    <row r="632" spans="1:15">
      <c r="A632" s="2">
        <v>631</v>
      </c>
      <c r="B632" s="4">
        <f>DAY(E632)</f>
        <v>10</v>
      </c>
      <c r="C632" s="4">
        <f>MONTH(E632)</f>
        <v>11</v>
      </c>
      <c r="D632" s="4">
        <f>YEAR(E632)</f>
        <v>2023</v>
      </c>
      <c r="E632" s="3">
        <v>45240</v>
      </c>
      <c r="F632" s="4" t="s">
        <v>662</v>
      </c>
      <c r="G632" s="4" t="s">
        <v>8</v>
      </c>
      <c r="H632" s="4">
        <v>56</v>
      </c>
      <c r="I632" s="4" t="str" cm="1">
        <f t="array" ref="I632">_xlfn.IFS(H632&lt;30, "Young Adult", H632&lt;50, "Adult", H632&gt;=50, "Senior")</f>
        <v>Senior</v>
      </c>
      <c r="J632" s="4" t="s">
        <v>4</v>
      </c>
      <c r="K632" s="4">
        <v>3</v>
      </c>
      <c r="L632" s="16">
        <v>30</v>
      </c>
      <c r="M632" s="16">
        <f xml:space="preserve"> K632 * L632</f>
        <v>90</v>
      </c>
      <c r="N632" s="16">
        <f>M632 * $Q$3</f>
        <v>1.3499999999999999</v>
      </c>
      <c r="O632" s="16">
        <f>M632 * $Q$4</f>
        <v>1.8</v>
      </c>
    </row>
    <row r="633" spans="1:15">
      <c r="A633" s="2">
        <v>632</v>
      </c>
      <c r="B633" s="4">
        <f>DAY(E633)</f>
        <v>16</v>
      </c>
      <c r="C633" s="4">
        <f>MONTH(E633)</f>
        <v>9</v>
      </c>
      <c r="D633" s="4">
        <f>YEAR(E633)</f>
        <v>2023</v>
      </c>
      <c r="E633" s="3">
        <v>45185</v>
      </c>
      <c r="F633" s="4" t="s">
        <v>663</v>
      </c>
      <c r="G633" s="4" t="s">
        <v>7</v>
      </c>
      <c r="H633" s="4">
        <v>26</v>
      </c>
      <c r="I633" s="4" t="str" cm="1">
        <f t="array" ref="I633">_xlfn.IFS(H633&lt;30, "Young Adult", H633&lt;50, "Adult", H633&gt;=50, "Senior")</f>
        <v>Young Adult</v>
      </c>
      <c r="J633" s="4" t="s">
        <v>4</v>
      </c>
      <c r="K633" s="4">
        <v>4</v>
      </c>
      <c r="L633" s="16">
        <v>25</v>
      </c>
      <c r="M633" s="16">
        <f xml:space="preserve"> K633 * L633</f>
        <v>100</v>
      </c>
      <c r="N633" s="16">
        <f>M633 * $Q$3</f>
        <v>1.5</v>
      </c>
      <c r="O633" s="16">
        <f>M633 * $Q$4</f>
        <v>2</v>
      </c>
    </row>
    <row r="634" spans="1:15">
      <c r="A634" s="2">
        <v>633</v>
      </c>
      <c r="B634" s="4">
        <f>DAY(E634)</f>
        <v>7</v>
      </c>
      <c r="C634" s="4">
        <f>MONTH(E634)</f>
        <v>8</v>
      </c>
      <c r="D634" s="4">
        <f>YEAR(E634)</f>
        <v>2023</v>
      </c>
      <c r="E634" s="3">
        <v>45145</v>
      </c>
      <c r="F634" s="4" t="s">
        <v>664</v>
      </c>
      <c r="G634" s="4" t="s">
        <v>8</v>
      </c>
      <c r="H634" s="4">
        <v>39</v>
      </c>
      <c r="I634" s="4" t="str" cm="1">
        <f t="array" ref="I634">_xlfn.IFS(H634&lt;30, "Young Adult", H634&lt;50, "Adult", H634&gt;=50, "Senior")</f>
        <v>Adult</v>
      </c>
      <c r="J634" s="4" t="s">
        <v>2</v>
      </c>
      <c r="K634" s="4">
        <v>4</v>
      </c>
      <c r="L634" s="16">
        <v>30</v>
      </c>
      <c r="M634" s="16">
        <f xml:space="preserve"> K634 * L634</f>
        <v>120</v>
      </c>
      <c r="N634" s="16">
        <f>M634 * $Q$3</f>
        <v>1.7999999999999998</v>
      </c>
      <c r="O634" s="16">
        <f>M634 * $Q$4</f>
        <v>2.4</v>
      </c>
    </row>
    <row r="635" spans="1:15">
      <c r="A635" s="2">
        <v>634</v>
      </c>
      <c r="B635" s="4">
        <f>DAY(E635)</f>
        <v>8</v>
      </c>
      <c r="C635" s="4">
        <f>MONTH(E635)</f>
        <v>10</v>
      </c>
      <c r="D635" s="4">
        <f>YEAR(E635)</f>
        <v>2023</v>
      </c>
      <c r="E635" s="3">
        <v>45207</v>
      </c>
      <c r="F635" s="4" t="s">
        <v>665</v>
      </c>
      <c r="G635" s="4" t="s">
        <v>8</v>
      </c>
      <c r="H635" s="4">
        <v>60</v>
      </c>
      <c r="I635" s="4" t="str" cm="1">
        <f t="array" ref="I635">_xlfn.IFS(H635&lt;30, "Young Adult", H635&lt;50, "Adult", H635&gt;=50, "Senior")</f>
        <v>Senior</v>
      </c>
      <c r="J635" s="4" t="s">
        <v>4</v>
      </c>
      <c r="K635" s="4">
        <v>4</v>
      </c>
      <c r="L635" s="16">
        <v>500</v>
      </c>
      <c r="M635" s="16">
        <f xml:space="preserve"> K635 * L635</f>
        <v>2000</v>
      </c>
      <c r="N635" s="16">
        <f>M635 * $Q$3</f>
        <v>30</v>
      </c>
      <c r="O635" s="16">
        <f>M635 * $Q$4</f>
        <v>40</v>
      </c>
    </row>
    <row r="636" spans="1:15">
      <c r="A636" s="2">
        <v>635</v>
      </c>
      <c r="B636" s="4">
        <f>DAY(E636)</f>
        <v>17</v>
      </c>
      <c r="C636" s="4">
        <f>MONTH(E636)</f>
        <v>8</v>
      </c>
      <c r="D636" s="4">
        <f>YEAR(E636)</f>
        <v>2023</v>
      </c>
      <c r="E636" s="3">
        <v>45155</v>
      </c>
      <c r="F636" s="4" t="s">
        <v>666</v>
      </c>
      <c r="G636" s="4" t="s">
        <v>7</v>
      </c>
      <c r="H636" s="4">
        <v>63</v>
      </c>
      <c r="I636" s="4" t="str" cm="1">
        <f t="array" ref="I636">_xlfn.IFS(H636&lt;30, "Young Adult", H636&lt;50, "Adult", H636&gt;=50, "Senior")</f>
        <v>Senior</v>
      </c>
      <c r="J636" s="4" t="s">
        <v>4</v>
      </c>
      <c r="K636" s="4">
        <v>3</v>
      </c>
      <c r="L636" s="16">
        <v>300</v>
      </c>
      <c r="M636" s="16">
        <f xml:space="preserve"> K636 * L636</f>
        <v>900</v>
      </c>
      <c r="N636" s="16">
        <f>M636 * $Q$3</f>
        <v>13.5</v>
      </c>
      <c r="O636" s="16">
        <f>M636 * $Q$4</f>
        <v>18</v>
      </c>
    </row>
    <row r="637" spans="1:15">
      <c r="A637" s="2">
        <v>636</v>
      </c>
      <c r="B637" s="4">
        <f>DAY(E637)</f>
        <v>23</v>
      </c>
      <c r="C637" s="4">
        <f>MONTH(E637)</f>
        <v>3</v>
      </c>
      <c r="D637" s="4">
        <f>YEAR(E637)</f>
        <v>2023</v>
      </c>
      <c r="E637" s="3">
        <v>45008</v>
      </c>
      <c r="F637" s="4" t="s">
        <v>667</v>
      </c>
      <c r="G637" s="4" t="s">
        <v>7</v>
      </c>
      <c r="H637" s="4">
        <v>21</v>
      </c>
      <c r="I637" s="4" t="str" cm="1">
        <f t="array" ref="I637">_xlfn.IFS(H637&lt;30, "Young Adult", H637&lt;50, "Adult", H637&gt;=50, "Senior")</f>
        <v>Young Adult</v>
      </c>
      <c r="J637" s="4" t="s">
        <v>2</v>
      </c>
      <c r="K637" s="4">
        <v>3</v>
      </c>
      <c r="L637" s="16">
        <v>500</v>
      </c>
      <c r="M637" s="16">
        <f xml:space="preserve"> K637 * L637</f>
        <v>1500</v>
      </c>
      <c r="N637" s="16">
        <f>M637 * $Q$3</f>
        <v>22.5</v>
      </c>
      <c r="O637" s="16">
        <f>M637 * $Q$4</f>
        <v>30</v>
      </c>
    </row>
    <row r="638" spans="1:15">
      <c r="A638" s="2">
        <v>637</v>
      </c>
      <c r="B638" s="4">
        <f>DAY(E638)</f>
        <v>1</v>
      </c>
      <c r="C638" s="4">
        <f>MONTH(E638)</f>
        <v>9</v>
      </c>
      <c r="D638" s="4">
        <f>YEAR(E638)</f>
        <v>2023</v>
      </c>
      <c r="E638" s="3">
        <v>45170</v>
      </c>
      <c r="F638" s="4" t="s">
        <v>668</v>
      </c>
      <c r="G638" s="4" t="s">
        <v>8</v>
      </c>
      <c r="H638" s="4">
        <v>43</v>
      </c>
      <c r="I638" s="4" t="str" cm="1">
        <f t="array" ref="I638">_xlfn.IFS(H638&lt;30, "Young Adult", H638&lt;50, "Adult", H638&gt;=50, "Senior")</f>
        <v>Adult</v>
      </c>
      <c r="J638" s="4" t="s">
        <v>3</v>
      </c>
      <c r="K638" s="4">
        <v>2</v>
      </c>
      <c r="L638" s="16">
        <v>300</v>
      </c>
      <c r="M638" s="16">
        <f xml:space="preserve"> K638 * L638</f>
        <v>600</v>
      </c>
      <c r="N638" s="16">
        <f>M638 * $Q$3</f>
        <v>9</v>
      </c>
      <c r="O638" s="16">
        <f>M638 * $Q$4</f>
        <v>12</v>
      </c>
    </row>
    <row r="639" spans="1:15">
      <c r="A639" s="2">
        <v>638</v>
      </c>
      <c r="B639" s="4">
        <f>DAY(E639)</f>
        <v>19</v>
      </c>
      <c r="C639" s="4">
        <f>MONTH(E639)</f>
        <v>8</v>
      </c>
      <c r="D639" s="4">
        <f>YEAR(E639)</f>
        <v>2023</v>
      </c>
      <c r="E639" s="3">
        <v>45157</v>
      </c>
      <c r="F639" s="4" t="s">
        <v>669</v>
      </c>
      <c r="G639" s="4" t="s">
        <v>8</v>
      </c>
      <c r="H639" s="4">
        <v>46</v>
      </c>
      <c r="I639" s="4" t="str" cm="1">
        <f t="array" ref="I639">_xlfn.IFS(H639&lt;30, "Young Adult", H639&lt;50, "Adult", H639&gt;=50, "Senior")</f>
        <v>Adult</v>
      </c>
      <c r="J639" s="4" t="s">
        <v>4</v>
      </c>
      <c r="K639" s="4">
        <v>1</v>
      </c>
      <c r="L639" s="16">
        <v>500</v>
      </c>
      <c r="M639" s="16">
        <f xml:space="preserve"> K639 * L639</f>
        <v>500</v>
      </c>
      <c r="N639" s="16">
        <f>M639 * $Q$3</f>
        <v>7.5</v>
      </c>
      <c r="O639" s="16">
        <f>M639 * $Q$4</f>
        <v>10</v>
      </c>
    </row>
    <row r="640" spans="1:15">
      <c r="A640" s="2">
        <v>639</v>
      </c>
      <c r="B640" s="4">
        <f>DAY(E640)</f>
        <v>13</v>
      </c>
      <c r="C640" s="4">
        <f>MONTH(E640)</f>
        <v>5</v>
      </c>
      <c r="D640" s="4">
        <f>YEAR(E640)</f>
        <v>2023</v>
      </c>
      <c r="E640" s="3">
        <v>45059</v>
      </c>
      <c r="F640" s="4" t="s">
        <v>670</v>
      </c>
      <c r="G640" s="4" t="s">
        <v>7</v>
      </c>
      <c r="H640" s="4">
        <v>62</v>
      </c>
      <c r="I640" s="4" t="str" cm="1">
        <f t="array" ref="I640">_xlfn.IFS(H640&lt;30, "Young Adult", H640&lt;50, "Adult", H640&gt;=50, "Senior")</f>
        <v>Senior</v>
      </c>
      <c r="J640" s="4" t="s">
        <v>2</v>
      </c>
      <c r="K640" s="4">
        <v>4</v>
      </c>
      <c r="L640" s="16">
        <v>50</v>
      </c>
      <c r="M640" s="16">
        <f xml:space="preserve"> K640 * L640</f>
        <v>200</v>
      </c>
      <c r="N640" s="16">
        <f>M640 * $Q$3</f>
        <v>3</v>
      </c>
      <c r="O640" s="16">
        <f>M640 * $Q$4</f>
        <v>4</v>
      </c>
    </row>
    <row r="641" spans="1:15">
      <c r="A641" s="2">
        <v>640</v>
      </c>
      <c r="B641" s="4">
        <f>DAY(E641)</f>
        <v>7</v>
      </c>
      <c r="C641" s="4">
        <f>MONTH(E641)</f>
        <v>5</v>
      </c>
      <c r="D641" s="4">
        <f>YEAR(E641)</f>
        <v>2023</v>
      </c>
      <c r="E641" s="3">
        <v>45053</v>
      </c>
      <c r="F641" s="4" t="s">
        <v>671</v>
      </c>
      <c r="G641" s="4" t="s">
        <v>7</v>
      </c>
      <c r="H641" s="4">
        <v>51</v>
      </c>
      <c r="I641" s="4" t="str" cm="1">
        <f t="array" ref="I641">_xlfn.IFS(H641&lt;30, "Young Adult", H641&lt;50, "Adult", H641&gt;=50, "Senior")</f>
        <v>Senior</v>
      </c>
      <c r="J641" s="4" t="s">
        <v>4</v>
      </c>
      <c r="K641" s="4">
        <v>4</v>
      </c>
      <c r="L641" s="16">
        <v>30</v>
      </c>
      <c r="M641" s="16">
        <f xml:space="preserve"> K641 * L641</f>
        <v>120</v>
      </c>
      <c r="N641" s="16">
        <f>M641 * $Q$3</f>
        <v>1.7999999999999998</v>
      </c>
      <c r="O641" s="16">
        <f>M641 * $Q$4</f>
        <v>2.4</v>
      </c>
    </row>
    <row r="642" spans="1:15">
      <c r="A642" s="2">
        <v>641</v>
      </c>
      <c r="B642" s="4">
        <f>DAY(E642)</f>
        <v>23</v>
      </c>
      <c r="C642" s="4">
        <f>MONTH(E642)</f>
        <v>11</v>
      </c>
      <c r="D642" s="4">
        <f>YEAR(E642)</f>
        <v>2023</v>
      </c>
      <c r="E642" s="3">
        <v>45253</v>
      </c>
      <c r="F642" s="4" t="s">
        <v>672</v>
      </c>
      <c r="G642" s="4" t="s">
        <v>7</v>
      </c>
      <c r="H642" s="4">
        <v>40</v>
      </c>
      <c r="I642" s="4" t="str" cm="1">
        <f t="array" ref="I642">_xlfn.IFS(H642&lt;30, "Young Adult", H642&lt;50, "Adult", H642&gt;=50, "Senior")</f>
        <v>Adult</v>
      </c>
      <c r="J642" s="4" t="s">
        <v>4</v>
      </c>
      <c r="K642" s="4">
        <v>1</v>
      </c>
      <c r="L642" s="16">
        <v>300</v>
      </c>
      <c r="M642" s="16">
        <f xml:space="preserve"> K642 * L642</f>
        <v>300</v>
      </c>
      <c r="N642" s="16">
        <f>M642 * $Q$3</f>
        <v>4.5</v>
      </c>
      <c r="O642" s="16">
        <f>M642 * $Q$4</f>
        <v>6</v>
      </c>
    </row>
    <row r="643" spans="1:15">
      <c r="A643" s="2">
        <v>642</v>
      </c>
      <c r="B643" s="4">
        <f>DAY(E643)</f>
        <v>22</v>
      </c>
      <c r="C643" s="4">
        <f>MONTH(E643)</f>
        <v>5</v>
      </c>
      <c r="D643" s="4">
        <f>YEAR(E643)</f>
        <v>2023</v>
      </c>
      <c r="E643" s="3">
        <v>45068</v>
      </c>
      <c r="F643" s="4" t="s">
        <v>673</v>
      </c>
      <c r="G643" s="4" t="s">
        <v>7</v>
      </c>
      <c r="H643" s="4">
        <v>54</v>
      </c>
      <c r="I643" s="4" t="str" cm="1">
        <f t="array" ref="I643">_xlfn.IFS(H643&lt;30, "Young Adult", H643&lt;50, "Adult", H643&gt;=50, "Senior")</f>
        <v>Senior</v>
      </c>
      <c r="J643" s="4" t="s">
        <v>3</v>
      </c>
      <c r="K643" s="4">
        <v>4</v>
      </c>
      <c r="L643" s="16">
        <v>25</v>
      </c>
      <c r="M643" s="16">
        <f xml:space="preserve"> K643 * L643</f>
        <v>100</v>
      </c>
      <c r="N643" s="16">
        <f>M643 * $Q$3</f>
        <v>1.5</v>
      </c>
      <c r="O643" s="16">
        <f>M643 * $Q$4</f>
        <v>2</v>
      </c>
    </row>
    <row r="644" spans="1:15">
      <c r="A644" s="2">
        <v>643</v>
      </c>
      <c r="B644" s="4">
        <f>DAY(E644)</f>
        <v>24</v>
      </c>
      <c r="C644" s="4">
        <f>MONTH(E644)</f>
        <v>9</v>
      </c>
      <c r="D644" s="4">
        <f>YEAR(E644)</f>
        <v>2023</v>
      </c>
      <c r="E644" s="3">
        <v>45193</v>
      </c>
      <c r="F644" s="4" t="s">
        <v>674</v>
      </c>
      <c r="G644" s="4" t="s">
        <v>7</v>
      </c>
      <c r="H644" s="4">
        <v>28</v>
      </c>
      <c r="I644" s="4" t="str" cm="1">
        <f t="array" ref="I644">_xlfn.IFS(H644&lt;30, "Young Adult", H644&lt;50, "Adult", H644&gt;=50, "Senior")</f>
        <v>Young Adult</v>
      </c>
      <c r="J644" s="4" t="s">
        <v>4</v>
      </c>
      <c r="K644" s="4">
        <v>3</v>
      </c>
      <c r="L644" s="16">
        <v>30</v>
      </c>
      <c r="M644" s="16">
        <f xml:space="preserve"> K644 * L644</f>
        <v>90</v>
      </c>
      <c r="N644" s="16">
        <f>M644 * $Q$3</f>
        <v>1.3499999999999999</v>
      </c>
      <c r="O644" s="16">
        <f>M644 * $Q$4</f>
        <v>1.8</v>
      </c>
    </row>
    <row r="645" spans="1:15">
      <c r="A645" s="2">
        <v>644</v>
      </c>
      <c r="B645" s="4">
        <f>DAY(E645)</f>
        <v>6</v>
      </c>
      <c r="C645" s="4">
        <f>MONTH(E645)</f>
        <v>9</v>
      </c>
      <c r="D645" s="4">
        <f>YEAR(E645)</f>
        <v>2023</v>
      </c>
      <c r="E645" s="3">
        <v>45175</v>
      </c>
      <c r="F645" s="4" t="s">
        <v>675</v>
      </c>
      <c r="G645" s="4" t="s">
        <v>8</v>
      </c>
      <c r="H645" s="4">
        <v>23</v>
      </c>
      <c r="I645" s="4" t="str" cm="1">
        <f t="array" ref="I645">_xlfn.IFS(H645&lt;30, "Young Adult", H645&lt;50, "Adult", H645&gt;=50, "Senior")</f>
        <v>Young Adult</v>
      </c>
      <c r="J645" s="4" t="s">
        <v>2</v>
      </c>
      <c r="K645" s="4">
        <v>3</v>
      </c>
      <c r="L645" s="16">
        <v>25</v>
      </c>
      <c r="M645" s="16">
        <f xml:space="preserve"> K645 * L645</f>
        <v>75</v>
      </c>
      <c r="N645" s="16">
        <f>M645 * $Q$3</f>
        <v>1.125</v>
      </c>
      <c r="O645" s="16">
        <f>M645 * $Q$4</f>
        <v>1.5</v>
      </c>
    </row>
    <row r="646" spans="1:15">
      <c r="A646" s="2">
        <v>645</v>
      </c>
      <c r="B646" s="4">
        <f>DAY(E646)</f>
        <v>17</v>
      </c>
      <c r="C646" s="4">
        <f>MONTH(E646)</f>
        <v>11</v>
      </c>
      <c r="D646" s="4">
        <f>YEAR(E646)</f>
        <v>2023</v>
      </c>
      <c r="E646" s="3">
        <v>45247</v>
      </c>
      <c r="F646" s="4" t="s">
        <v>676</v>
      </c>
      <c r="G646" s="4" t="s">
        <v>7</v>
      </c>
      <c r="H646" s="4">
        <v>35</v>
      </c>
      <c r="I646" s="4" t="str" cm="1">
        <f t="array" ref="I646">_xlfn.IFS(H646&lt;30, "Young Adult", H646&lt;50, "Adult", H646&gt;=50, "Senior")</f>
        <v>Adult</v>
      </c>
      <c r="J646" s="4" t="s">
        <v>4</v>
      </c>
      <c r="K646" s="4">
        <v>4</v>
      </c>
      <c r="L646" s="16">
        <v>30</v>
      </c>
      <c r="M646" s="16">
        <f xml:space="preserve"> K646 * L646</f>
        <v>120</v>
      </c>
      <c r="N646" s="16">
        <f>M646 * $Q$3</f>
        <v>1.7999999999999998</v>
      </c>
      <c r="O646" s="16">
        <f>M646 * $Q$4</f>
        <v>2.4</v>
      </c>
    </row>
    <row r="647" spans="1:15">
      <c r="A647" s="2">
        <v>646</v>
      </c>
      <c r="B647" s="4">
        <f>DAY(E647)</f>
        <v>3</v>
      </c>
      <c r="C647" s="4">
        <f>MONTH(E647)</f>
        <v>5</v>
      </c>
      <c r="D647" s="4">
        <f>YEAR(E647)</f>
        <v>2023</v>
      </c>
      <c r="E647" s="3">
        <v>45049</v>
      </c>
      <c r="F647" s="4" t="s">
        <v>677</v>
      </c>
      <c r="G647" s="4" t="s">
        <v>8</v>
      </c>
      <c r="H647" s="4">
        <v>38</v>
      </c>
      <c r="I647" s="4" t="str" cm="1">
        <f t="array" ref="I647">_xlfn.IFS(H647&lt;30, "Young Adult", H647&lt;50, "Adult", H647&gt;=50, "Senior")</f>
        <v>Adult</v>
      </c>
      <c r="J647" s="4" t="s">
        <v>3</v>
      </c>
      <c r="K647" s="4">
        <v>3</v>
      </c>
      <c r="L647" s="16">
        <v>30</v>
      </c>
      <c r="M647" s="16">
        <f xml:space="preserve"> K647 * L647</f>
        <v>90</v>
      </c>
      <c r="N647" s="16">
        <f>M647 * $Q$3</f>
        <v>1.3499999999999999</v>
      </c>
      <c r="O647" s="16">
        <f>M647 * $Q$4</f>
        <v>1.8</v>
      </c>
    </row>
    <row r="648" spans="1:15">
      <c r="A648" s="2">
        <v>647</v>
      </c>
      <c r="B648" s="4">
        <f>DAY(E648)</f>
        <v>21</v>
      </c>
      <c r="C648" s="4">
        <f>MONTH(E648)</f>
        <v>5</v>
      </c>
      <c r="D648" s="4">
        <f>YEAR(E648)</f>
        <v>2023</v>
      </c>
      <c r="E648" s="3">
        <v>45067</v>
      </c>
      <c r="F648" s="4" t="s">
        <v>678</v>
      </c>
      <c r="G648" s="4" t="s">
        <v>8</v>
      </c>
      <c r="H648" s="4">
        <v>59</v>
      </c>
      <c r="I648" s="4" t="str" cm="1">
        <f t="array" ref="I648">_xlfn.IFS(H648&lt;30, "Young Adult", H648&lt;50, "Adult", H648&gt;=50, "Senior")</f>
        <v>Senior</v>
      </c>
      <c r="J648" s="4" t="s">
        <v>3</v>
      </c>
      <c r="K648" s="4">
        <v>3</v>
      </c>
      <c r="L648" s="16">
        <v>500</v>
      </c>
      <c r="M648" s="16">
        <f xml:space="preserve"> K648 * L648</f>
        <v>1500</v>
      </c>
      <c r="N648" s="16">
        <f>M648 * $Q$3</f>
        <v>22.5</v>
      </c>
      <c r="O648" s="16">
        <f>M648 * $Q$4</f>
        <v>30</v>
      </c>
    </row>
    <row r="649" spans="1:15">
      <c r="A649" s="2">
        <v>648</v>
      </c>
      <c r="B649" s="4">
        <f>DAY(E649)</f>
        <v>14</v>
      </c>
      <c r="C649" s="4">
        <f>MONTH(E649)</f>
        <v>8</v>
      </c>
      <c r="D649" s="4">
        <f>YEAR(E649)</f>
        <v>2023</v>
      </c>
      <c r="E649" s="3">
        <v>45152</v>
      </c>
      <c r="F649" s="4" t="s">
        <v>679</v>
      </c>
      <c r="G649" s="4" t="s">
        <v>8</v>
      </c>
      <c r="H649" s="4">
        <v>53</v>
      </c>
      <c r="I649" s="4" t="str" cm="1">
        <f t="array" ref="I649">_xlfn.IFS(H649&lt;30, "Young Adult", H649&lt;50, "Adult", H649&gt;=50, "Senior")</f>
        <v>Senior</v>
      </c>
      <c r="J649" s="4" t="s">
        <v>2</v>
      </c>
      <c r="K649" s="4">
        <v>4</v>
      </c>
      <c r="L649" s="16">
        <v>300</v>
      </c>
      <c r="M649" s="16">
        <f xml:space="preserve"> K649 * L649</f>
        <v>1200</v>
      </c>
      <c r="N649" s="16">
        <f>M649 * $Q$3</f>
        <v>18</v>
      </c>
      <c r="O649" s="16">
        <f>M649 * $Q$4</f>
        <v>24</v>
      </c>
    </row>
    <row r="650" spans="1:15">
      <c r="A650" s="2">
        <v>649</v>
      </c>
      <c r="B650" s="4">
        <f>DAY(E650)</f>
        <v>9</v>
      </c>
      <c r="C650" s="4">
        <f>MONTH(E650)</f>
        <v>2</v>
      </c>
      <c r="D650" s="4">
        <f>YEAR(E650)</f>
        <v>2023</v>
      </c>
      <c r="E650" s="3">
        <v>44966</v>
      </c>
      <c r="F650" s="4" t="s">
        <v>680</v>
      </c>
      <c r="G650" s="4" t="s">
        <v>7</v>
      </c>
      <c r="H650" s="4">
        <v>58</v>
      </c>
      <c r="I650" s="4" t="str" cm="1">
        <f t="array" ref="I650">_xlfn.IFS(H650&lt;30, "Young Adult", H650&lt;50, "Adult", H650&gt;=50, "Senior")</f>
        <v>Senior</v>
      </c>
      <c r="J650" s="4" t="s">
        <v>3</v>
      </c>
      <c r="K650" s="4">
        <v>2</v>
      </c>
      <c r="L650" s="16">
        <v>300</v>
      </c>
      <c r="M650" s="16">
        <f xml:space="preserve"> K650 * L650</f>
        <v>600</v>
      </c>
      <c r="N650" s="16">
        <f>M650 * $Q$3</f>
        <v>9</v>
      </c>
      <c r="O650" s="16">
        <f>M650 * $Q$4</f>
        <v>12</v>
      </c>
    </row>
    <row r="651" spans="1:15">
      <c r="A651" s="2">
        <v>650</v>
      </c>
      <c r="B651" s="4">
        <f>DAY(E651)</f>
        <v>1</v>
      </c>
      <c r="C651" s="4">
        <f>MONTH(E651)</f>
        <v>1</v>
      </c>
      <c r="D651" s="4">
        <f>YEAR(E651)</f>
        <v>2024</v>
      </c>
      <c r="E651" s="3">
        <v>45292</v>
      </c>
      <c r="F651" s="4" t="s">
        <v>681</v>
      </c>
      <c r="G651" s="4" t="s">
        <v>8</v>
      </c>
      <c r="H651" s="4">
        <v>55</v>
      </c>
      <c r="I651" s="4" t="str" cm="1">
        <f t="array" ref="I651">_xlfn.IFS(H651&lt;30, "Young Adult", H651&lt;50, "Adult", H651&gt;=50, "Senior")</f>
        <v>Senior</v>
      </c>
      <c r="J651" s="4" t="s">
        <v>4</v>
      </c>
      <c r="K651" s="4">
        <v>1</v>
      </c>
      <c r="L651" s="16">
        <v>30</v>
      </c>
      <c r="M651" s="16">
        <f xml:space="preserve"> K651 * L651</f>
        <v>30</v>
      </c>
      <c r="N651" s="16">
        <f>M651 * $Q$3</f>
        <v>0.44999999999999996</v>
      </c>
      <c r="O651" s="16">
        <f>M651 * $Q$4</f>
        <v>0.6</v>
      </c>
    </row>
    <row r="652" spans="1:15">
      <c r="A652" s="2">
        <v>651</v>
      </c>
      <c r="B652" s="4">
        <f>DAY(E652)</f>
        <v>27</v>
      </c>
      <c r="C652" s="4">
        <f>MONTH(E652)</f>
        <v>5</v>
      </c>
      <c r="D652" s="4">
        <f>YEAR(E652)</f>
        <v>2023</v>
      </c>
      <c r="E652" s="3">
        <v>45073</v>
      </c>
      <c r="F652" s="4" t="s">
        <v>682</v>
      </c>
      <c r="G652" s="4" t="s">
        <v>8</v>
      </c>
      <c r="H652" s="4">
        <v>51</v>
      </c>
      <c r="I652" s="4" t="str" cm="1">
        <f t="array" ref="I652">_xlfn.IFS(H652&lt;30, "Young Adult", H652&lt;50, "Adult", H652&gt;=50, "Senior")</f>
        <v>Senior</v>
      </c>
      <c r="J652" s="4" t="s">
        <v>3</v>
      </c>
      <c r="K652" s="4">
        <v>3</v>
      </c>
      <c r="L652" s="16">
        <v>50</v>
      </c>
      <c r="M652" s="16">
        <f xml:space="preserve"> K652 * L652</f>
        <v>150</v>
      </c>
      <c r="N652" s="16">
        <f>M652 * $Q$3</f>
        <v>2.25</v>
      </c>
      <c r="O652" s="16">
        <f>M652 * $Q$4</f>
        <v>3</v>
      </c>
    </row>
    <row r="653" spans="1:15">
      <c r="A653" s="2">
        <v>652</v>
      </c>
      <c r="B653" s="4">
        <f>DAY(E653)</f>
        <v>1</v>
      </c>
      <c r="C653" s="4">
        <f>MONTH(E653)</f>
        <v>5</v>
      </c>
      <c r="D653" s="4">
        <f>YEAR(E653)</f>
        <v>2023</v>
      </c>
      <c r="E653" s="3">
        <v>45047</v>
      </c>
      <c r="F653" s="4" t="s">
        <v>683</v>
      </c>
      <c r="G653" s="4" t="s">
        <v>7</v>
      </c>
      <c r="H653" s="4">
        <v>34</v>
      </c>
      <c r="I653" s="4" t="str" cm="1">
        <f t="array" ref="I653">_xlfn.IFS(H653&lt;30, "Young Adult", H653&lt;50, "Adult", H653&gt;=50, "Senior")</f>
        <v>Adult</v>
      </c>
      <c r="J653" s="4" t="s">
        <v>2</v>
      </c>
      <c r="K653" s="4">
        <v>2</v>
      </c>
      <c r="L653" s="16">
        <v>50</v>
      </c>
      <c r="M653" s="16">
        <f xml:space="preserve"> K653 * L653</f>
        <v>100</v>
      </c>
      <c r="N653" s="16">
        <f>M653 * $Q$3</f>
        <v>1.5</v>
      </c>
      <c r="O653" s="16">
        <f>M653 * $Q$4</f>
        <v>2</v>
      </c>
    </row>
    <row r="654" spans="1:15">
      <c r="A654" s="2">
        <v>653</v>
      </c>
      <c r="B654" s="4">
        <f>DAY(E654)</f>
        <v>20</v>
      </c>
      <c r="C654" s="4">
        <f>MONTH(E654)</f>
        <v>5</v>
      </c>
      <c r="D654" s="4">
        <f>YEAR(E654)</f>
        <v>2023</v>
      </c>
      <c r="E654" s="3">
        <v>45066</v>
      </c>
      <c r="F654" s="4" t="s">
        <v>684</v>
      </c>
      <c r="G654" s="4" t="s">
        <v>8</v>
      </c>
      <c r="H654" s="4">
        <v>54</v>
      </c>
      <c r="I654" s="4" t="str" cm="1">
        <f t="array" ref="I654">_xlfn.IFS(H654&lt;30, "Young Adult", H654&lt;50, "Adult", H654&gt;=50, "Senior")</f>
        <v>Senior</v>
      </c>
      <c r="J654" s="4" t="s">
        <v>3</v>
      </c>
      <c r="K654" s="4">
        <v>3</v>
      </c>
      <c r="L654" s="16">
        <v>25</v>
      </c>
      <c r="M654" s="16">
        <f xml:space="preserve"> K654 * L654</f>
        <v>75</v>
      </c>
      <c r="N654" s="16">
        <f>M654 * $Q$3</f>
        <v>1.125</v>
      </c>
      <c r="O654" s="16">
        <f>M654 * $Q$4</f>
        <v>1.5</v>
      </c>
    </row>
    <row r="655" spans="1:15">
      <c r="A655" s="2">
        <v>654</v>
      </c>
      <c r="B655" s="4">
        <f>DAY(E655)</f>
        <v>21</v>
      </c>
      <c r="C655" s="4">
        <f>MONTH(E655)</f>
        <v>6</v>
      </c>
      <c r="D655" s="4">
        <f>YEAR(E655)</f>
        <v>2023</v>
      </c>
      <c r="E655" s="3">
        <v>45098</v>
      </c>
      <c r="F655" s="4" t="s">
        <v>685</v>
      </c>
      <c r="G655" s="4" t="s">
        <v>8</v>
      </c>
      <c r="H655" s="4">
        <v>42</v>
      </c>
      <c r="I655" s="4" t="str" cm="1">
        <f t="array" ref="I655">_xlfn.IFS(H655&lt;30, "Young Adult", H655&lt;50, "Adult", H655&gt;=50, "Senior")</f>
        <v>Adult</v>
      </c>
      <c r="J655" s="4" t="s">
        <v>3</v>
      </c>
      <c r="K655" s="4">
        <v>3</v>
      </c>
      <c r="L655" s="16">
        <v>25</v>
      </c>
      <c r="M655" s="16">
        <f xml:space="preserve"> K655 * L655</f>
        <v>75</v>
      </c>
      <c r="N655" s="16">
        <f>M655 * $Q$3</f>
        <v>1.125</v>
      </c>
      <c r="O655" s="16">
        <f>M655 * $Q$4</f>
        <v>1.5</v>
      </c>
    </row>
    <row r="656" spans="1:15">
      <c r="A656" s="2">
        <v>655</v>
      </c>
      <c r="B656" s="4">
        <f>DAY(E656)</f>
        <v>13</v>
      </c>
      <c r="C656" s="4">
        <f>MONTH(E656)</f>
        <v>6</v>
      </c>
      <c r="D656" s="4">
        <f>YEAR(E656)</f>
        <v>2023</v>
      </c>
      <c r="E656" s="3">
        <v>45090</v>
      </c>
      <c r="F656" s="4" t="s">
        <v>686</v>
      </c>
      <c r="G656" s="4" t="s">
        <v>7</v>
      </c>
      <c r="H656" s="4">
        <v>55</v>
      </c>
      <c r="I656" s="4" t="str" cm="1">
        <f t="array" ref="I656">_xlfn.IFS(H656&lt;30, "Young Adult", H656&lt;50, "Adult", H656&gt;=50, "Senior")</f>
        <v>Senior</v>
      </c>
      <c r="J656" s="4" t="s">
        <v>3</v>
      </c>
      <c r="K656" s="4">
        <v>1</v>
      </c>
      <c r="L656" s="16">
        <v>500</v>
      </c>
      <c r="M656" s="16">
        <f xml:space="preserve"> K656 * L656</f>
        <v>500</v>
      </c>
      <c r="N656" s="16">
        <f>M656 * $Q$3</f>
        <v>7.5</v>
      </c>
      <c r="O656" s="16">
        <f>M656 * $Q$4</f>
        <v>10</v>
      </c>
    </row>
    <row r="657" spans="1:15">
      <c r="A657" s="2">
        <v>656</v>
      </c>
      <c r="B657" s="4">
        <f>DAY(E657)</f>
        <v>4</v>
      </c>
      <c r="C657" s="4">
        <f>MONTH(E657)</f>
        <v>10</v>
      </c>
      <c r="D657" s="4">
        <f>YEAR(E657)</f>
        <v>2023</v>
      </c>
      <c r="E657" s="3">
        <v>45203</v>
      </c>
      <c r="F657" s="4" t="s">
        <v>687</v>
      </c>
      <c r="G657" s="4" t="s">
        <v>8</v>
      </c>
      <c r="H657" s="4">
        <v>29</v>
      </c>
      <c r="I657" s="4" t="str" cm="1">
        <f t="array" ref="I657">_xlfn.IFS(H657&lt;30, "Young Adult", H657&lt;50, "Adult", H657&gt;=50, "Senior")</f>
        <v>Young Adult</v>
      </c>
      <c r="J657" s="4" t="s">
        <v>2</v>
      </c>
      <c r="K657" s="4">
        <v>3</v>
      </c>
      <c r="L657" s="16">
        <v>30</v>
      </c>
      <c r="M657" s="16">
        <f xml:space="preserve"> K657 * L657</f>
        <v>90</v>
      </c>
      <c r="N657" s="16">
        <f>M657 * $Q$3</f>
        <v>1.3499999999999999</v>
      </c>
      <c r="O657" s="16">
        <f>M657 * $Q$4</f>
        <v>1.8</v>
      </c>
    </row>
    <row r="658" spans="1:15">
      <c r="A658" s="2">
        <v>657</v>
      </c>
      <c r="B658" s="4">
        <f>DAY(E658)</f>
        <v>11</v>
      </c>
      <c r="C658" s="4">
        <f>MONTH(E658)</f>
        <v>2</v>
      </c>
      <c r="D658" s="4">
        <f>YEAR(E658)</f>
        <v>2023</v>
      </c>
      <c r="E658" s="3">
        <v>44968</v>
      </c>
      <c r="F658" s="4" t="s">
        <v>688</v>
      </c>
      <c r="G658" s="4" t="s">
        <v>8</v>
      </c>
      <c r="H658" s="4">
        <v>40</v>
      </c>
      <c r="I658" s="4" t="str" cm="1">
        <f t="array" ref="I658">_xlfn.IFS(H658&lt;30, "Young Adult", H658&lt;50, "Adult", H658&gt;=50, "Senior")</f>
        <v>Adult</v>
      </c>
      <c r="J658" s="4" t="s">
        <v>3</v>
      </c>
      <c r="K658" s="4">
        <v>1</v>
      </c>
      <c r="L658" s="16">
        <v>25</v>
      </c>
      <c r="M658" s="16">
        <f xml:space="preserve"> K658 * L658</f>
        <v>25</v>
      </c>
      <c r="N658" s="16">
        <f>M658 * $Q$3</f>
        <v>0.375</v>
      </c>
      <c r="O658" s="16">
        <f>M658 * $Q$4</f>
        <v>0.5</v>
      </c>
    </row>
    <row r="659" spans="1:15">
      <c r="A659" s="2">
        <v>658</v>
      </c>
      <c r="B659" s="4">
        <f>DAY(E659)</f>
        <v>12</v>
      </c>
      <c r="C659" s="4">
        <f>MONTH(E659)</f>
        <v>3</v>
      </c>
      <c r="D659" s="4">
        <f>YEAR(E659)</f>
        <v>2023</v>
      </c>
      <c r="E659" s="3">
        <v>44997</v>
      </c>
      <c r="F659" s="4" t="s">
        <v>689</v>
      </c>
      <c r="G659" s="4" t="s">
        <v>8</v>
      </c>
      <c r="H659" s="4">
        <v>59</v>
      </c>
      <c r="I659" s="4" t="str" cm="1">
        <f t="array" ref="I659">_xlfn.IFS(H659&lt;30, "Young Adult", H659&lt;50, "Adult", H659&gt;=50, "Senior")</f>
        <v>Senior</v>
      </c>
      <c r="J659" s="4" t="s">
        <v>3</v>
      </c>
      <c r="K659" s="4">
        <v>1</v>
      </c>
      <c r="L659" s="16">
        <v>25</v>
      </c>
      <c r="M659" s="16">
        <f xml:space="preserve"> K659 * L659</f>
        <v>25</v>
      </c>
      <c r="N659" s="16">
        <f>M659 * $Q$3</f>
        <v>0.375</v>
      </c>
      <c r="O659" s="16">
        <f>M659 * $Q$4</f>
        <v>0.5</v>
      </c>
    </row>
    <row r="660" spans="1:15">
      <c r="A660" s="2">
        <v>659</v>
      </c>
      <c r="B660" s="4">
        <f>DAY(E660)</f>
        <v>19</v>
      </c>
      <c r="C660" s="4">
        <f>MONTH(E660)</f>
        <v>3</v>
      </c>
      <c r="D660" s="4">
        <f>YEAR(E660)</f>
        <v>2023</v>
      </c>
      <c r="E660" s="3">
        <v>45004</v>
      </c>
      <c r="F660" s="4" t="s">
        <v>690</v>
      </c>
      <c r="G660" s="4" t="s">
        <v>7</v>
      </c>
      <c r="H660" s="4">
        <v>39</v>
      </c>
      <c r="I660" s="4" t="str" cm="1">
        <f t="array" ref="I660">_xlfn.IFS(H660&lt;30, "Young Adult", H660&lt;50, "Adult", H660&gt;=50, "Senior")</f>
        <v>Adult</v>
      </c>
      <c r="J660" s="4" t="s">
        <v>4</v>
      </c>
      <c r="K660" s="4">
        <v>1</v>
      </c>
      <c r="L660" s="16">
        <v>30</v>
      </c>
      <c r="M660" s="16">
        <f xml:space="preserve"> K660 * L660</f>
        <v>30</v>
      </c>
      <c r="N660" s="16">
        <f>M660 * $Q$3</f>
        <v>0.44999999999999996</v>
      </c>
      <c r="O660" s="16">
        <f>M660 * $Q$4</f>
        <v>0.6</v>
      </c>
    </row>
    <row r="661" spans="1:15">
      <c r="A661" s="2">
        <v>660</v>
      </c>
      <c r="B661" s="4">
        <f>DAY(E661)</f>
        <v>29</v>
      </c>
      <c r="C661" s="4">
        <f>MONTH(E661)</f>
        <v>4</v>
      </c>
      <c r="D661" s="4">
        <f>YEAR(E661)</f>
        <v>2023</v>
      </c>
      <c r="E661" s="3">
        <v>45045</v>
      </c>
      <c r="F661" s="4" t="s">
        <v>691</v>
      </c>
      <c r="G661" s="4" t="s">
        <v>7</v>
      </c>
      <c r="H661" s="4">
        <v>38</v>
      </c>
      <c r="I661" s="4" t="str" cm="1">
        <f t="array" ref="I661">_xlfn.IFS(H661&lt;30, "Young Adult", H661&lt;50, "Adult", H661&gt;=50, "Senior")</f>
        <v>Adult</v>
      </c>
      <c r="J661" s="4" t="s">
        <v>2</v>
      </c>
      <c r="K661" s="4">
        <v>2</v>
      </c>
      <c r="L661" s="16">
        <v>500</v>
      </c>
      <c r="M661" s="16">
        <f xml:space="preserve"> K661 * L661</f>
        <v>1000</v>
      </c>
      <c r="N661" s="16">
        <f>M661 * $Q$3</f>
        <v>15</v>
      </c>
      <c r="O661" s="16">
        <f>M661 * $Q$4</f>
        <v>20</v>
      </c>
    </row>
    <row r="662" spans="1:15">
      <c r="A662" s="2">
        <v>661</v>
      </c>
      <c r="B662" s="4">
        <f>DAY(E662)</f>
        <v>16</v>
      </c>
      <c r="C662" s="4">
        <f>MONTH(E662)</f>
        <v>7</v>
      </c>
      <c r="D662" s="4">
        <f>YEAR(E662)</f>
        <v>2023</v>
      </c>
      <c r="E662" s="3">
        <v>45123</v>
      </c>
      <c r="F662" s="4" t="s">
        <v>692</v>
      </c>
      <c r="G662" s="4" t="s">
        <v>7</v>
      </c>
      <c r="H662" s="4">
        <v>44</v>
      </c>
      <c r="I662" s="4" t="str" cm="1">
        <f t="array" ref="I662">_xlfn.IFS(H662&lt;30, "Young Adult", H662&lt;50, "Adult", H662&gt;=50, "Senior")</f>
        <v>Adult</v>
      </c>
      <c r="J662" s="4" t="s">
        <v>3</v>
      </c>
      <c r="K662" s="4">
        <v>4</v>
      </c>
      <c r="L662" s="16">
        <v>25</v>
      </c>
      <c r="M662" s="16">
        <f xml:space="preserve"> K662 * L662</f>
        <v>100</v>
      </c>
      <c r="N662" s="16">
        <f>M662 * $Q$3</f>
        <v>1.5</v>
      </c>
      <c r="O662" s="16">
        <f>M662 * $Q$4</f>
        <v>2</v>
      </c>
    </row>
    <row r="663" spans="1:15">
      <c r="A663" s="2">
        <v>662</v>
      </c>
      <c r="B663" s="4">
        <f>DAY(E663)</f>
        <v>22</v>
      </c>
      <c r="C663" s="4">
        <f>MONTH(E663)</f>
        <v>12</v>
      </c>
      <c r="D663" s="4">
        <f>YEAR(E663)</f>
        <v>2023</v>
      </c>
      <c r="E663" s="3">
        <v>45282</v>
      </c>
      <c r="F663" s="4" t="s">
        <v>693</v>
      </c>
      <c r="G663" s="4" t="s">
        <v>8</v>
      </c>
      <c r="H663" s="4">
        <v>48</v>
      </c>
      <c r="I663" s="4" t="str" cm="1">
        <f t="array" ref="I663">_xlfn.IFS(H663&lt;30, "Young Adult", H663&lt;50, "Adult", H663&gt;=50, "Senior")</f>
        <v>Adult</v>
      </c>
      <c r="J663" s="4" t="s">
        <v>2</v>
      </c>
      <c r="K663" s="4">
        <v>2</v>
      </c>
      <c r="L663" s="16">
        <v>500</v>
      </c>
      <c r="M663" s="16">
        <f xml:space="preserve"> K663 * L663</f>
        <v>1000</v>
      </c>
      <c r="N663" s="16">
        <f>M663 * $Q$3</f>
        <v>15</v>
      </c>
      <c r="O663" s="16">
        <f>M663 * $Q$4</f>
        <v>20</v>
      </c>
    </row>
    <row r="664" spans="1:15">
      <c r="A664" s="2">
        <v>663</v>
      </c>
      <c r="B664" s="4">
        <f>DAY(E664)</f>
        <v>20</v>
      </c>
      <c r="C664" s="4">
        <f>MONTH(E664)</f>
        <v>3</v>
      </c>
      <c r="D664" s="4">
        <f>YEAR(E664)</f>
        <v>2023</v>
      </c>
      <c r="E664" s="3">
        <v>45005</v>
      </c>
      <c r="F664" s="4" t="s">
        <v>694</v>
      </c>
      <c r="G664" s="4" t="s">
        <v>8</v>
      </c>
      <c r="H664" s="4">
        <v>23</v>
      </c>
      <c r="I664" s="4" t="str" cm="1">
        <f t="array" ref="I664">_xlfn.IFS(H664&lt;30, "Young Adult", H664&lt;50, "Adult", H664&gt;=50, "Senior")</f>
        <v>Young Adult</v>
      </c>
      <c r="J664" s="4" t="s">
        <v>3</v>
      </c>
      <c r="K664" s="4">
        <v>4</v>
      </c>
      <c r="L664" s="16">
        <v>300</v>
      </c>
      <c r="M664" s="16">
        <f xml:space="preserve"> K664 * L664</f>
        <v>1200</v>
      </c>
      <c r="N664" s="16">
        <f>M664 * $Q$3</f>
        <v>18</v>
      </c>
      <c r="O664" s="16">
        <f>M664 * $Q$4</f>
        <v>24</v>
      </c>
    </row>
    <row r="665" spans="1:15">
      <c r="A665" s="2">
        <v>664</v>
      </c>
      <c r="B665" s="4">
        <f>DAY(E665)</f>
        <v>28</v>
      </c>
      <c r="C665" s="4">
        <f>MONTH(E665)</f>
        <v>12</v>
      </c>
      <c r="D665" s="4">
        <f>YEAR(E665)</f>
        <v>2023</v>
      </c>
      <c r="E665" s="3">
        <v>45288</v>
      </c>
      <c r="F665" s="4" t="s">
        <v>695</v>
      </c>
      <c r="G665" s="4" t="s">
        <v>7</v>
      </c>
      <c r="H665" s="4">
        <v>44</v>
      </c>
      <c r="I665" s="4" t="str" cm="1">
        <f t="array" ref="I665">_xlfn.IFS(H665&lt;30, "Young Adult", H665&lt;50, "Adult", H665&gt;=50, "Senior")</f>
        <v>Adult</v>
      </c>
      <c r="J665" s="4" t="s">
        <v>3</v>
      </c>
      <c r="K665" s="4">
        <v>4</v>
      </c>
      <c r="L665" s="16">
        <v>500</v>
      </c>
      <c r="M665" s="16">
        <f xml:space="preserve"> K665 * L665</f>
        <v>2000</v>
      </c>
      <c r="N665" s="16">
        <f>M665 * $Q$3</f>
        <v>30</v>
      </c>
      <c r="O665" s="16">
        <f>M665 * $Q$4</f>
        <v>40</v>
      </c>
    </row>
    <row r="666" spans="1:15">
      <c r="A666" s="2">
        <v>665</v>
      </c>
      <c r="B666" s="4">
        <f>DAY(E666)</f>
        <v>20</v>
      </c>
      <c r="C666" s="4">
        <f>MONTH(E666)</f>
        <v>4</v>
      </c>
      <c r="D666" s="4">
        <f>YEAR(E666)</f>
        <v>2023</v>
      </c>
      <c r="E666" s="3">
        <v>45036</v>
      </c>
      <c r="F666" s="4" t="s">
        <v>696</v>
      </c>
      <c r="G666" s="4" t="s">
        <v>8</v>
      </c>
      <c r="H666" s="4">
        <v>57</v>
      </c>
      <c r="I666" s="4" t="str" cm="1">
        <f t="array" ref="I666">_xlfn.IFS(H666&lt;30, "Young Adult", H666&lt;50, "Adult", H666&gt;=50, "Senior")</f>
        <v>Senior</v>
      </c>
      <c r="J666" s="4" t="s">
        <v>3</v>
      </c>
      <c r="K666" s="4">
        <v>1</v>
      </c>
      <c r="L666" s="16">
        <v>50</v>
      </c>
      <c r="M666" s="16">
        <f xml:space="preserve"> K666 * L666</f>
        <v>50</v>
      </c>
      <c r="N666" s="16">
        <f>M666 * $Q$3</f>
        <v>0.75</v>
      </c>
      <c r="O666" s="16">
        <f>M666 * $Q$4</f>
        <v>1</v>
      </c>
    </row>
    <row r="667" spans="1:15">
      <c r="A667" s="2">
        <v>666</v>
      </c>
      <c r="B667" s="4">
        <f>DAY(E667)</f>
        <v>2</v>
      </c>
      <c r="C667" s="4">
        <f>MONTH(E667)</f>
        <v>2</v>
      </c>
      <c r="D667" s="4">
        <f>YEAR(E667)</f>
        <v>2023</v>
      </c>
      <c r="E667" s="3">
        <v>44959</v>
      </c>
      <c r="F667" s="4" t="s">
        <v>697</v>
      </c>
      <c r="G667" s="4" t="s">
        <v>8</v>
      </c>
      <c r="H667" s="4">
        <v>51</v>
      </c>
      <c r="I667" s="4" t="str" cm="1">
        <f t="array" ref="I667">_xlfn.IFS(H667&lt;30, "Young Adult", H667&lt;50, "Adult", H667&gt;=50, "Senior")</f>
        <v>Senior</v>
      </c>
      <c r="J667" s="4" t="s">
        <v>4</v>
      </c>
      <c r="K667" s="4">
        <v>3</v>
      </c>
      <c r="L667" s="16">
        <v>50</v>
      </c>
      <c r="M667" s="16">
        <f xml:space="preserve"> K667 * L667</f>
        <v>150</v>
      </c>
      <c r="N667" s="16">
        <f>M667 * $Q$3</f>
        <v>2.25</v>
      </c>
      <c r="O667" s="16">
        <f>M667 * $Q$4</f>
        <v>3</v>
      </c>
    </row>
    <row r="668" spans="1:15">
      <c r="A668" s="2">
        <v>667</v>
      </c>
      <c r="B668" s="4">
        <f>DAY(E668)</f>
        <v>1</v>
      </c>
      <c r="C668" s="4">
        <f>MONTH(E668)</f>
        <v>8</v>
      </c>
      <c r="D668" s="4">
        <f>YEAR(E668)</f>
        <v>2023</v>
      </c>
      <c r="E668" s="3">
        <v>45139</v>
      </c>
      <c r="F668" s="4" t="s">
        <v>698</v>
      </c>
      <c r="G668" s="4" t="s">
        <v>7</v>
      </c>
      <c r="H668" s="4">
        <v>29</v>
      </c>
      <c r="I668" s="4" t="str" cm="1">
        <f t="array" ref="I668">_xlfn.IFS(H668&lt;30, "Young Adult", H668&lt;50, "Adult", H668&gt;=50, "Senior")</f>
        <v>Young Adult</v>
      </c>
      <c r="J668" s="4" t="s">
        <v>4</v>
      </c>
      <c r="K668" s="4">
        <v>1</v>
      </c>
      <c r="L668" s="16">
        <v>500</v>
      </c>
      <c r="M668" s="16">
        <f xml:space="preserve"> K668 * L668</f>
        <v>500</v>
      </c>
      <c r="N668" s="16">
        <f>M668 * $Q$3</f>
        <v>7.5</v>
      </c>
      <c r="O668" s="16">
        <f>M668 * $Q$4</f>
        <v>10</v>
      </c>
    </row>
    <row r="669" spans="1:15">
      <c r="A669" s="2">
        <v>668</v>
      </c>
      <c r="B669" s="4">
        <f>DAY(E669)</f>
        <v>28</v>
      </c>
      <c r="C669" s="4">
        <f>MONTH(E669)</f>
        <v>7</v>
      </c>
      <c r="D669" s="4">
        <f>YEAR(E669)</f>
        <v>2023</v>
      </c>
      <c r="E669" s="3">
        <v>45135</v>
      </c>
      <c r="F669" s="4" t="s">
        <v>699</v>
      </c>
      <c r="G669" s="4" t="s">
        <v>7</v>
      </c>
      <c r="H669" s="4">
        <v>62</v>
      </c>
      <c r="I669" s="4" t="str" cm="1">
        <f t="array" ref="I669">_xlfn.IFS(H669&lt;30, "Young Adult", H669&lt;50, "Adult", H669&gt;=50, "Senior")</f>
        <v>Senior</v>
      </c>
      <c r="J669" s="4" t="s">
        <v>4</v>
      </c>
      <c r="K669" s="4">
        <v>3</v>
      </c>
      <c r="L669" s="16">
        <v>50</v>
      </c>
      <c r="M669" s="16">
        <f xml:space="preserve"> K669 * L669</f>
        <v>150</v>
      </c>
      <c r="N669" s="16">
        <f>M669 * $Q$3</f>
        <v>2.25</v>
      </c>
      <c r="O669" s="16">
        <f>M669 * $Q$4</f>
        <v>3</v>
      </c>
    </row>
    <row r="670" spans="1:15">
      <c r="A670" s="2">
        <v>669</v>
      </c>
      <c r="B670" s="4">
        <f>DAY(E670)</f>
        <v>19</v>
      </c>
      <c r="C670" s="4">
        <f>MONTH(E670)</f>
        <v>6</v>
      </c>
      <c r="D670" s="4">
        <f>YEAR(E670)</f>
        <v>2023</v>
      </c>
      <c r="E670" s="3">
        <v>45096</v>
      </c>
      <c r="F670" s="4" t="s">
        <v>700</v>
      </c>
      <c r="G670" s="4" t="s">
        <v>8</v>
      </c>
      <c r="H670" s="4">
        <v>24</v>
      </c>
      <c r="I670" s="4" t="str" cm="1">
        <f t="array" ref="I670">_xlfn.IFS(H670&lt;30, "Young Adult", H670&lt;50, "Adult", H670&gt;=50, "Senior")</f>
        <v>Young Adult</v>
      </c>
      <c r="J670" s="4" t="s">
        <v>2</v>
      </c>
      <c r="K670" s="4">
        <v>4</v>
      </c>
      <c r="L670" s="16">
        <v>300</v>
      </c>
      <c r="M670" s="16">
        <f xml:space="preserve"> K670 * L670</f>
        <v>1200</v>
      </c>
      <c r="N670" s="16">
        <f>M670 * $Q$3</f>
        <v>18</v>
      </c>
      <c r="O670" s="16">
        <f>M670 * $Q$4</f>
        <v>24</v>
      </c>
    </row>
    <row r="671" spans="1:15">
      <c r="A671" s="2">
        <v>670</v>
      </c>
      <c r="B671" s="4">
        <f>DAY(E671)</f>
        <v>5</v>
      </c>
      <c r="C671" s="4">
        <f>MONTH(E671)</f>
        <v>10</v>
      </c>
      <c r="D671" s="4">
        <f>YEAR(E671)</f>
        <v>2023</v>
      </c>
      <c r="E671" s="3">
        <v>45204</v>
      </c>
      <c r="F671" s="4" t="s">
        <v>701</v>
      </c>
      <c r="G671" s="4" t="s">
        <v>8</v>
      </c>
      <c r="H671" s="4">
        <v>27</v>
      </c>
      <c r="I671" s="4" t="str" cm="1">
        <f t="array" ref="I671">_xlfn.IFS(H671&lt;30, "Young Adult", H671&lt;50, "Adult", H671&gt;=50, "Senior")</f>
        <v>Young Adult</v>
      </c>
      <c r="J671" s="4" t="s">
        <v>2</v>
      </c>
      <c r="K671" s="4">
        <v>1</v>
      </c>
      <c r="L671" s="16">
        <v>30</v>
      </c>
      <c r="M671" s="16">
        <f xml:space="preserve"> K671 * L671</f>
        <v>30</v>
      </c>
      <c r="N671" s="16">
        <f>M671 * $Q$3</f>
        <v>0.44999999999999996</v>
      </c>
      <c r="O671" s="16">
        <f>M671 * $Q$4</f>
        <v>0.6</v>
      </c>
    </row>
    <row r="672" spans="1:15">
      <c r="A672" s="2">
        <v>671</v>
      </c>
      <c r="B672" s="4">
        <f>DAY(E672)</f>
        <v>27</v>
      </c>
      <c r="C672" s="4">
        <f>MONTH(E672)</f>
        <v>8</v>
      </c>
      <c r="D672" s="4">
        <f>YEAR(E672)</f>
        <v>2023</v>
      </c>
      <c r="E672" s="3">
        <v>45165</v>
      </c>
      <c r="F672" s="4" t="s">
        <v>702</v>
      </c>
      <c r="G672" s="4" t="s">
        <v>8</v>
      </c>
      <c r="H672" s="4">
        <v>62</v>
      </c>
      <c r="I672" s="4" t="str" cm="1">
        <f t="array" ref="I672">_xlfn.IFS(H672&lt;30, "Young Adult", H672&lt;50, "Adult", H672&gt;=50, "Senior")</f>
        <v>Senior</v>
      </c>
      <c r="J672" s="4" t="s">
        <v>4</v>
      </c>
      <c r="K672" s="4">
        <v>3</v>
      </c>
      <c r="L672" s="16">
        <v>50</v>
      </c>
      <c r="M672" s="16">
        <f xml:space="preserve"> K672 * L672</f>
        <v>150</v>
      </c>
      <c r="N672" s="16">
        <f>M672 * $Q$3</f>
        <v>2.25</v>
      </c>
      <c r="O672" s="16">
        <f>M672 * $Q$4</f>
        <v>3</v>
      </c>
    </row>
    <row r="673" spans="1:15">
      <c r="A673" s="2">
        <v>672</v>
      </c>
      <c r="B673" s="4">
        <f>DAY(E673)</f>
        <v>1</v>
      </c>
      <c r="C673" s="4">
        <f>MONTH(E673)</f>
        <v>8</v>
      </c>
      <c r="D673" s="4">
        <f>YEAR(E673)</f>
        <v>2023</v>
      </c>
      <c r="E673" s="3">
        <v>45139</v>
      </c>
      <c r="F673" s="4" t="s">
        <v>703</v>
      </c>
      <c r="G673" s="4" t="s">
        <v>7</v>
      </c>
      <c r="H673" s="4">
        <v>34</v>
      </c>
      <c r="I673" s="4" t="str" cm="1">
        <f t="array" ref="I673">_xlfn.IFS(H673&lt;30, "Young Adult", H673&lt;50, "Adult", H673&gt;=50, "Senior")</f>
        <v>Adult</v>
      </c>
      <c r="J673" s="4" t="s">
        <v>2</v>
      </c>
      <c r="K673" s="4">
        <v>2</v>
      </c>
      <c r="L673" s="16">
        <v>50</v>
      </c>
      <c r="M673" s="16">
        <f xml:space="preserve"> K673 * L673</f>
        <v>100</v>
      </c>
      <c r="N673" s="16">
        <f>M673 * $Q$3</f>
        <v>1.5</v>
      </c>
      <c r="O673" s="16">
        <f>M673 * $Q$4</f>
        <v>2</v>
      </c>
    </row>
    <row r="674" spans="1:15">
      <c r="A674" s="2">
        <v>673</v>
      </c>
      <c r="B674" s="4">
        <f>DAY(E674)</f>
        <v>1</v>
      </c>
      <c r="C674" s="4">
        <f>MONTH(E674)</f>
        <v>2</v>
      </c>
      <c r="D674" s="4">
        <f>YEAR(E674)</f>
        <v>2023</v>
      </c>
      <c r="E674" s="3">
        <v>44958</v>
      </c>
      <c r="F674" s="4" t="s">
        <v>704</v>
      </c>
      <c r="G674" s="4" t="s">
        <v>7</v>
      </c>
      <c r="H674" s="4">
        <v>43</v>
      </c>
      <c r="I674" s="4" t="str" cm="1">
        <f t="array" ref="I674">_xlfn.IFS(H674&lt;30, "Young Adult", H674&lt;50, "Adult", H674&gt;=50, "Senior")</f>
        <v>Adult</v>
      </c>
      <c r="J674" s="4" t="s">
        <v>3</v>
      </c>
      <c r="K674" s="4">
        <v>3</v>
      </c>
      <c r="L674" s="16">
        <v>500</v>
      </c>
      <c r="M674" s="16">
        <f xml:space="preserve"> K674 * L674</f>
        <v>1500</v>
      </c>
      <c r="N674" s="16">
        <f>M674 * $Q$3</f>
        <v>22.5</v>
      </c>
      <c r="O674" s="16">
        <f>M674 * $Q$4</f>
        <v>30</v>
      </c>
    </row>
    <row r="675" spans="1:15">
      <c r="A675" s="2">
        <v>674</v>
      </c>
      <c r="B675" s="4">
        <f>DAY(E675)</f>
        <v>16</v>
      </c>
      <c r="C675" s="4">
        <f>MONTH(E675)</f>
        <v>4</v>
      </c>
      <c r="D675" s="4">
        <f>YEAR(E675)</f>
        <v>2023</v>
      </c>
      <c r="E675" s="3">
        <v>45032</v>
      </c>
      <c r="F675" s="4" t="s">
        <v>705</v>
      </c>
      <c r="G675" s="4" t="s">
        <v>7</v>
      </c>
      <c r="H675" s="4">
        <v>38</v>
      </c>
      <c r="I675" s="4" t="str" cm="1">
        <f t="array" ref="I675">_xlfn.IFS(H675&lt;30, "Young Adult", H675&lt;50, "Adult", H675&gt;=50, "Senior")</f>
        <v>Adult</v>
      </c>
      <c r="J675" s="4" t="s">
        <v>3</v>
      </c>
      <c r="K675" s="4">
        <v>1</v>
      </c>
      <c r="L675" s="16">
        <v>300</v>
      </c>
      <c r="M675" s="16">
        <f xml:space="preserve"> K675 * L675</f>
        <v>300</v>
      </c>
      <c r="N675" s="16">
        <f>M675 * $Q$3</f>
        <v>4.5</v>
      </c>
      <c r="O675" s="16">
        <f>M675 * $Q$4</f>
        <v>6</v>
      </c>
    </row>
    <row r="676" spans="1:15">
      <c r="A676" s="2">
        <v>675</v>
      </c>
      <c r="B676" s="4">
        <f>DAY(E676)</f>
        <v>4</v>
      </c>
      <c r="C676" s="4">
        <f>MONTH(E676)</f>
        <v>8</v>
      </c>
      <c r="D676" s="4">
        <f>YEAR(E676)</f>
        <v>2023</v>
      </c>
      <c r="E676" s="3">
        <v>45142</v>
      </c>
      <c r="F676" s="4" t="s">
        <v>706</v>
      </c>
      <c r="G676" s="4" t="s">
        <v>7</v>
      </c>
      <c r="H676" s="4">
        <v>45</v>
      </c>
      <c r="I676" s="4" t="str" cm="1">
        <f t="array" ref="I676">_xlfn.IFS(H676&lt;30, "Young Adult", H676&lt;50, "Adult", H676&gt;=50, "Senior")</f>
        <v>Adult</v>
      </c>
      <c r="J676" s="4" t="s">
        <v>3</v>
      </c>
      <c r="K676" s="4">
        <v>2</v>
      </c>
      <c r="L676" s="16">
        <v>30</v>
      </c>
      <c r="M676" s="16">
        <f xml:space="preserve"> K676 * L676</f>
        <v>60</v>
      </c>
      <c r="N676" s="16">
        <f>M676 * $Q$3</f>
        <v>0.89999999999999991</v>
      </c>
      <c r="O676" s="16">
        <f>M676 * $Q$4</f>
        <v>1.2</v>
      </c>
    </row>
    <row r="677" spans="1:15">
      <c r="A677" s="2">
        <v>676</v>
      </c>
      <c r="B677" s="4">
        <f>DAY(E677)</f>
        <v>19</v>
      </c>
      <c r="C677" s="4">
        <f>MONTH(E677)</f>
        <v>7</v>
      </c>
      <c r="D677" s="4">
        <f>YEAR(E677)</f>
        <v>2023</v>
      </c>
      <c r="E677" s="3">
        <v>45126</v>
      </c>
      <c r="F677" s="4" t="s">
        <v>707</v>
      </c>
      <c r="G677" s="4" t="s">
        <v>8</v>
      </c>
      <c r="H677" s="4">
        <v>63</v>
      </c>
      <c r="I677" s="4" t="str" cm="1">
        <f t="array" ref="I677">_xlfn.IFS(H677&lt;30, "Young Adult", H677&lt;50, "Adult", H677&gt;=50, "Senior")</f>
        <v>Senior</v>
      </c>
      <c r="J677" s="4" t="s">
        <v>4</v>
      </c>
      <c r="K677" s="4">
        <v>3</v>
      </c>
      <c r="L677" s="16">
        <v>500</v>
      </c>
      <c r="M677" s="16">
        <f xml:space="preserve"> K677 * L677</f>
        <v>1500</v>
      </c>
      <c r="N677" s="16">
        <f>M677 * $Q$3</f>
        <v>22.5</v>
      </c>
      <c r="O677" s="16">
        <f>M677 * $Q$4</f>
        <v>30</v>
      </c>
    </row>
    <row r="678" spans="1:15">
      <c r="A678" s="2">
        <v>677</v>
      </c>
      <c r="B678" s="4">
        <f>DAY(E678)</f>
        <v>27</v>
      </c>
      <c r="C678" s="4">
        <f>MONTH(E678)</f>
        <v>10</v>
      </c>
      <c r="D678" s="4">
        <f>YEAR(E678)</f>
        <v>2023</v>
      </c>
      <c r="E678" s="3">
        <v>45226</v>
      </c>
      <c r="F678" s="4" t="s">
        <v>708</v>
      </c>
      <c r="G678" s="4" t="s">
        <v>7</v>
      </c>
      <c r="H678" s="4">
        <v>19</v>
      </c>
      <c r="I678" s="4" t="str" cm="1">
        <f t="array" ref="I678">_xlfn.IFS(H678&lt;30, "Young Adult", H678&lt;50, "Adult", H678&gt;=50, "Senior")</f>
        <v>Young Adult</v>
      </c>
      <c r="J678" s="4" t="s">
        <v>2</v>
      </c>
      <c r="K678" s="4">
        <v>3</v>
      </c>
      <c r="L678" s="16">
        <v>500</v>
      </c>
      <c r="M678" s="16">
        <f xml:space="preserve"> K678 * L678</f>
        <v>1500</v>
      </c>
      <c r="N678" s="16">
        <f>M678 * $Q$3</f>
        <v>22.5</v>
      </c>
      <c r="O678" s="16">
        <f>M678 * $Q$4</f>
        <v>30</v>
      </c>
    </row>
    <row r="679" spans="1:15">
      <c r="A679" s="2">
        <v>678</v>
      </c>
      <c r="B679" s="4">
        <f>DAY(E679)</f>
        <v>23</v>
      </c>
      <c r="C679" s="4">
        <f>MONTH(E679)</f>
        <v>12</v>
      </c>
      <c r="D679" s="4">
        <f>YEAR(E679)</f>
        <v>2023</v>
      </c>
      <c r="E679" s="3">
        <v>45283</v>
      </c>
      <c r="F679" s="4" t="s">
        <v>709</v>
      </c>
      <c r="G679" s="4" t="s">
        <v>7</v>
      </c>
      <c r="H679" s="4">
        <v>60</v>
      </c>
      <c r="I679" s="4" t="str" cm="1">
        <f t="array" ref="I679">_xlfn.IFS(H679&lt;30, "Young Adult", H679&lt;50, "Adult", H679&gt;=50, "Senior")</f>
        <v>Senior</v>
      </c>
      <c r="J679" s="4" t="s">
        <v>4</v>
      </c>
      <c r="K679" s="4">
        <v>3</v>
      </c>
      <c r="L679" s="16">
        <v>300</v>
      </c>
      <c r="M679" s="16">
        <f xml:space="preserve"> K679 * L679</f>
        <v>900</v>
      </c>
      <c r="N679" s="16">
        <f>M679 * $Q$3</f>
        <v>13.5</v>
      </c>
      <c r="O679" s="16">
        <f>M679 * $Q$4</f>
        <v>18</v>
      </c>
    </row>
    <row r="680" spans="1:15">
      <c r="A680" s="2">
        <v>679</v>
      </c>
      <c r="B680" s="4">
        <f>DAY(E680)</f>
        <v>11</v>
      </c>
      <c r="C680" s="4">
        <f>MONTH(E680)</f>
        <v>1</v>
      </c>
      <c r="D680" s="4">
        <f>YEAR(E680)</f>
        <v>2023</v>
      </c>
      <c r="E680" s="3">
        <v>44937</v>
      </c>
      <c r="F680" s="4" t="s">
        <v>710</v>
      </c>
      <c r="G680" s="4" t="s">
        <v>7</v>
      </c>
      <c r="H680" s="4">
        <v>18</v>
      </c>
      <c r="I680" s="4" t="str" cm="1">
        <f t="array" ref="I680">_xlfn.IFS(H680&lt;30, "Young Adult", H680&lt;50, "Adult", H680&gt;=50, "Senior")</f>
        <v>Young Adult</v>
      </c>
      <c r="J680" s="4" t="s">
        <v>2</v>
      </c>
      <c r="K680" s="4">
        <v>3</v>
      </c>
      <c r="L680" s="16">
        <v>30</v>
      </c>
      <c r="M680" s="16">
        <f xml:space="preserve"> K680 * L680</f>
        <v>90</v>
      </c>
      <c r="N680" s="16">
        <f>M680 * $Q$3</f>
        <v>1.3499999999999999</v>
      </c>
      <c r="O680" s="16">
        <f>M680 * $Q$4</f>
        <v>1.8</v>
      </c>
    </row>
    <row r="681" spans="1:15">
      <c r="A681" s="2">
        <v>680</v>
      </c>
      <c r="B681" s="4">
        <f>DAY(E681)</f>
        <v>22</v>
      </c>
      <c r="C681" s="4">
        <f>MONTH(E681)</f>
        <v>10</v>
      </c>
      <c r="D681" s="4">
        <f>YEAR(E681)</f>
        <v>2023</v>
      </c>
      <c r="E681" s="3">
        <v>45221</v>
      </c>
      <c r="F681" s="4" t="s">
        <v>711</v>
      </c>
      <c r="G681" s="4" t="s">
        <v>7</v>
      </c>
      <c r="H681" s="4">
        <v>53</v>
      </c>
      <c r="I681" s="4" t="str" cm="1">
        <f t="array" ref="I681">_xlfn.IFS(H681&lt;30, "Young Adult", H681&lt;50, "Adult", H681&gt;=50, "Senior")</f>
        <v>Senior</v>
      </c>
      <c r="J681" s="4" t="s">
        <v>3</v>
      </c>
      <c r="K681" s="4">
        <v>3</v>
      </c>
      <c r="L681" s="16">
        <v>300</v>
      </c>
      <c r="M681" s="16">
        <f xml:space="preserve"> K681 * L681</f>
        <v>900</v>
      </c>
      <c r="N681" s="16">
        <f>M681 * $Q$3</f>
        <v>13.5</v>
      </c>
      <c r="O681" s="16">
        <f>M681 * $Q$4</f>
        <v>18</v>
      </c>
    </row>
    <row r="682" spans="1:15">
      <c r="A682" s="2">
        <v>681</v>
      </c>
      <c r="B682" s="4">
        <f>DAY(E682)</f>
        <v>14</v>
      </c>
      <c r="C682" s="4">
        <f>MONTH(E682)</f>
        <v>7</v>
      </c>
      <c r="D682" s="4">
        <f>YEAR(E682)</f>
        <v>2023</v>
      </c>
      <c r="E682" s="3">
        <v>45121</v>
      </c>
      <c r="F682" s="4" t="s">
        <v>712</v>
      </c>
      <c r="G682" s="4" t="s">
        <v>7</v>
      </c>
      <c r="H682" s="4">
        <v>43</v>
      </c>
      <c r="I682" s="4" t="str" cm="1">
        <f t="array" ref="I682">_xlfn.IFS(H682&lt;30, "Young Adult", H682&lt;50, "Adult", H682&gt;=50, "Senior")</f>
        <v>Adult</v>
      </c>
      <c r="J682" s="4" t="s">
        <v>4</v>
      </c>
      <c r="K682" s="4">
        <v>2</v>
      </c>
      <c r="L682" s="16">
        <v>30</v>
      </c>
      <c r="M682" s="16">
        <f xml:space="preserve"> K682 * L682</f>
        <v>60</v>
      </c>
      <c r="N682" s="16">
        <f>M682 * $Q$3</f>
        <v>0.89999999999999991</v>
      </c>
      <c r="O682" s="16">
        <f>M682 * $Q$4</f>
        <v>1.2</v>
      </c>
    </row>
    <row r="683" spans="1:15">
      <c r="A683" s="2">
        <v>682</v>
      </c>
      <c r="B683" s="4">
        <f>DAY(E683)</f>
        <v>2</v>
      </c>
      <c r="C683" s="4">
        <f>MONTH(E683)</f>
        <v>9</v>
      </c>
      <c r="D683" s="4">
        <f>YEAR(E683)</f>
        <v>2023</v>
      </c>
      <c r="E683" s="3">
        <v>45171</v>
      </c>
      <c r="F683" s="4" t="s">
        <v>713</v>
      </c>
      <c r="G683" s="4" t="s">
        <v>8</v>
      </c>
      <c r="H683" s="4">
        <v>46</v>
      </c>
      <c r="I683" s="4" t="str" cm="1">
        <f t="array" ref="I683">_xlfn.IFS(H683&lt;30, "Young Adult", H683&lt;50, "Adult", H683&gt;=50, "Senior")</f>
        <v>Adult</v>
      </c>
      <c r="J683" s="4" t="s">
        <v>2</v>
      </c>
      <c r="K683" s="4">
        <v>4</v>
      </c>
      <c r="L683" s="16">
        <v>300</v>
      </c>
      <c r="M683" s="16">
        <f xml:space="preserve"> K683 * L683</f>
        <v>1200</v>
      </c>
      <c r="N683" s="16">
        <f>M683 * $Q$3</f>
        <v>18</v>
      </c>
      <c r="O683" s="16">
        <f>M683 * $Q$4</f>
        <v>24</v>
      </c>
    </row>
    <row r="684" spans="1:15">
      <c r="A684" s="2">
        <v>683</v>
      </c>
      <c r="B684" s="4">
        <f>DAY(E684)</f>
        <v>4</v>
      </c>
      <c r="C684" s="4">
        <f>MONTH(E684)</f>
        <v>1</v>
      </c>
      <c r="D684" s="4">
        <f>YEAR(E684)</f>
        <v>2023</v>
      </c>
      <c r="E684" s="3">
        <v>44930</v>
      </c>
      <c r="F684" s="4" t="s">
        <v>714</v>
      </c>
      <c r="G684" s="4" t="s">
        <v>8</v>
      </c>
      <c r="H684" s="4">
        <v>38</v>
      </c>
      <c r="I684" s="4" t="str" cm="1">
        <f t="array" ref="I684">_xlfn.IFS(H684&lt;30, "Young Adult", H684&lt;50, "Adult", H684&gt;=50, "Senior")</f>
        <v>Adult</v>
      </c>
      <c r="J684" s="4" t="s">
        <v>2</v>
      </c>
      <c r="K684" s="4">
        <v>2</v>
      </c>
      <c r="L684" s="16">
        <v>500</v>
      </c>
      <c r="M684" s="16">
        <f xml:space="preserve"> K684 * L684</f>
        <v>1000</v>
      </c>
      <c r="N684" s="16">
        <f>M684 * $Q$3</f>
        <v>15</v>
      </c>
      <c r="O684" s="16">
        <f>M684 * $Q$4</f>
        <v>20</v>
      </c>
    </row>
    <row r="685" spans="1:15">
      <c r="A685" s="2">
        <v>684</v>
      </c>
      <c r="B685" s="4">
        <f>DAY(E685)</f>
        <v>30</v>
      </c>
      <c r="C685" s="4">
        <f>MONTH(E685)</f>
        <v>6</v>
      </c>
      <c r="D685" s="4">
        <f>YEAR(E685)</f>
        <v>2023</v>
      </c>
      <c r="E685" s="3">
        <v>45107</v>
      </c>
      <c r="F685" s="4" t="s">
        <v>715</v>
      </c>
      <c r="G685" s="4" t="s">
        <v>7</v>
      </c>
      <c r="H685" s="4">
        <v>28</v>
      </c>
      <c r="I685" s="4" t="str" cm="1">
        <f t="array" ref="I685">_xlfn.IFS(H685&lt;30, "Young Adult", H685&lt;50, "Adult", H685&gt;=50, "Senior")</f>
        <v>Young Adult</v>
      </c>
      <c r="J685" s="4" t="s">
        <v>3</v>
      </c>
      <c r="K685" s="4">
        <v>2</v>
      </c>
      <c r="L685" s="16">
        <v>500</v>
      </c>
      <c r="M685" s="16">
        <f xml:space="preserve"> K685 * L685</f>
        <v>1000</v>
      </c>
      <c r="N685" s="16">
        <f>M685 * $Q$3</f>
        <v>15</v>
      </c>
      <c r="O685" s="16">
        <f>M685 * $Q$4</f>
        <v>20</v>
      </c>
    </row>
    <row r="686" spans="1:15">
      <c r="A686" s="2">
        <v>685</v>
      </c>
      <c r="B686" s="4">
        <f>DAY(E686)</f>
        <v>2</v>
      </c>
      <c r="C686" s="4">
        <f>MONTH(E686)</f>
        <v>6</v>
      </c>
      <c r="D686" s="4">
        <f>YEAR(E686)</f>
        <v>2023</v>
      </c>
      <c r="E686" s="3">
        <v>45079</v>
      </c>
      <c r="F686" s="4" t="s">
        <v>716</v>
      </c>
      <c r="G686" s="4" t="s">
        <v>8</v>
      </c>
      <c r="H686" s="4">
        <v>57</v>
      </c>
      <c r="I686" s="4" t="str" cm="1">
        <f t="array" ref="I686">_xlfn.IFS(H686&lt;30, "Young Adult", H686&lt;50, "Adult", H686&gt;=50, "Senior")</f>
        <v>Senior</v>
      </c>
      <c r="J686" s="4" t="s">
        <v>4</v>
      </c>
      <c r="K686" s="4">
        <v>2</v>
      </c>
      <c r="L686" s="16">
        <v>25</v>
      </c>
      <c r="M686" s="16">
        <f xml:space="preserve"> K686 * L686</f>
        <v>50</v>
      </c>
      <c r="N686" s="16">
        <f>M686 * $Q$3</f>
        <v>0.75</v>
      </c>
      <c r="O686" s="16">
        <f>M686 * $Q$4</f>
        <v>1</v>
      </c>
    </row>
    <row r="687" spans="1:15">
      <c r="A687" s="2">
        <v>686</v>
      </c>
      <c r="B687" s="4">
        <f>DAY(E687)</f>
        <v>19</v>
      </c>
      <c r="C687" s="4">
        <f>MONTH(E687)</f>
        <v>7</v>
      </c>
      <c r="D687" s="4">
        <f>YEAR(E687)</f>
        <v>2023</v>
      </c>
      <c r="E687" s="3">
        <v>45126</v>
      </c>
      <c r="F687" s="4" t="s">
        <v>717</v>
      </c>
      <c r="G687" s="4" t="s">
        <v>7</v>
      </c>
      <c r="H687" s="4">
        <v>28</v>
      </c>
      <c r="I687" s="4" t="str" cm="1">
        <f t="array" ref="I687">_xlfn.IFS(H687&lt;30, "Young Adult", H687&lt;50, "Adult", H687&gt;=50, "Senior")</f>
        <v>Young Adult</v>
      </c>
      <c r="J687" s="4" t="s">
        <v>4</v>
      </c>
      <c r="K687" s="4">
        <v>4</v>
      </c>
      <c r="L687" s="16">
        <v>50</v>
      </c>
      <c r="M687" s="16">
        <f xml:space="preserve"> K687 * L687</f>
        <v>200</v>
      </c>
      <c r="N687" s="16">
        <f>M687 * $Q$3</f>
        <v>3</v>
      </c>
      <c r="O687" s="16">
        <f>M687 * $Q$4</f>
        <v>4</v>
      </c>
    </row>
    <row r="688" spans="1:15">
      <c r="A688" s="2">
        <v>687</v>
      </c>
      <c r="B688" s="4">
        <f>DAY(E688)</f>
        <v>3</v>
      </c>
      <c r="C688" s="4">
        <f>MONTH(E688)</f>
        <v>8</v>
      </c>
      <c r="D688" s="4">
        <f>YEAR(E688)</f>
        <v>2023</v>
      </c>
      <c r="E688" s="3">
        <v>45141</v>
      </c>
      <c r="F688" s="4" t="s">
        <v>718</v>
      </c>
      <c r="G688" s="4" t="s">
        <v>7</v>
      </c>
      <c r="H688" s="4">
        <v>53</v>
      </c>
      <c r="I688" s="4" t="str" cm="1">
        <f t="array" ref="I688">_xlfn.IFS(H688&lt;30, "Young Adult", H688&lt;50, "Adult", H688&gt;=50, "Senior")</f>
        <v>Senior</v>
      </c>
      <c r="J688" s="4" t="s">
        <v>4</v>
      </c>
      <c r="K688" s="4">
        <v>1</v>
      </c>
      <c r="L688" s="16">
        <v>300</v>
      </c>
      <c r="M688" s="16">
        <f xml:space="preserve"> K688 * L688</f>
        <v>300</v>
      </c>
      <c r="N688" s="16">
        <f>M688 * $Q$3</f>
        <v>4.5</v>
      </c>
      <c r="O688" s="16">
        <f>M688 * $Q$4</f>
        <v>6</v>
      </c>
    </row>
    <row r="689" spans="1:15">
      <c r="A689" s="2">
        <v>688</v>
      </c>
      <c r="B689" s="4">
        <f>DAY(E689)</f>
        <v>3</v>
      </c>
      <c r="C689" s="4">
        <f>MONTH(E689)</f>
        <v>10</v>
      </c>
      <c r="D689" s="4">
        <f>YEAR(E689)</f>
        <v>2023</v>
      </c>
      <c r="E689" s="3">
        <v>45202</v>
      </c>
      <c r="F689" s="4" t="s">
        <v>719</v>
      </c>
      <c r="G689" s="4" t="s">
        <v>8</v>
      </c>
      <c r="H689" s="4">
        <v>56</v>
      </c>
      <c r="I689" s="4" t="str" cm="1">
        <f t="array" ref="I689">_xlfn.IFS(H689&lt;30, "Young Adult", H689&lt;50, "Adult", H689&gt;=50, "Senior")</f>
        <v>Senior</v>
      </c>
      <c r="J689" s="4" t="s">
        <v>3</v>
      </c>
      <c r="K689" s="4">
        <v>4</v>
      </c>
      <c r="L689" s="16">
        <v>25</v>
      </c>
      <c r="M689" s="16">
        <f xml:space="preserve"> K689 * L689</f>
        <v>100</v>
      </c>
      <c r="N689" s="16">
        <f>M689 * $Q$3</f>
        <v>1.5</v>
      </c>
      <c r="O689" s="16">
        <f>M689 * $Q$4</f>
        <v>2</v>
      </c>
    </row>
    <row r="690" spans="1:15">
      <c r="A690" s="2">
        <v>689</v>
      </c>
      <c r="B690" s="4">
        <f>DAY(E690)</f>
        <v>7</v>
      </c>
      <c r="C690" s="4">
        <f>MONTH(E690)</f>
        <v>10</v>
      </c>
      <c r="D690" s="4">
        <f>YEAR(E690)</f>
        <v>2023</v>
      </c>
      <c r="E690" s="3">
        <v>45206</v>
      </c>
      <c r="F690" s="4" t="s">
        <v>720</v>
      </c>
      <c r="G690" s="4" t="s">
        <v>8</v>
      </c>
      <c r="H690" s="4">
        <v>57</v>
      </c>
      <c r="I690" s="4" t="str" cm="1">
        <f t="array" ref="I690">_xlfn.IFS(H690&lt;30, "Young Adult", H690&lt;50, "Adult", H690&gt;=50, "Senior")</f>
        <v>Senior</v>
      </c>
      <c r="J690" s="4" t="s">
        <v>4</v>
      </c>
      <c r="K690" s="4">
        <v>2</v>
      </c>
      <c r="L690" s="16">
        <v>50</v>
      </c>
      <c r="M690" s="16">
        <f xml:space="preserve"> K690 * L690</f>
        <v>100</v>
      </c>
      <c r="N690" s="16">
        <f>M690 * $Q$3</f>
        <v>1.5</v>
      </c>
      <c r="O690" s="16">
        <f>M690 * $Q$4</f>
        <v>2</v>
      </c>
    </row>
    <row r="691" spans="1:15">
      <c r="A691" s="2">
        <v>690</v>
      </c>
      <c r="B691" s="4">
        <f>DAY(E691)</f>
        <v>5</v>
      </c>
      <c r="C691" s="4">
        <f>MONTH(E691)</f>
        <v>11</v>
      </c>
      <c r="D691" s="4">
        <f>YEAR(E691)</f>
        <v>2023</v>
      </c>
      <c r="E691" s="3">
        <v>45235</v>
      </c>
      <c r="F691" s="4" t="s">
        <v>721</v>
      </c>
      <c r="G691" s="4" t="s">
        <v>7</v>
      </c>
      <c r="H691" s="4">
        <v>52</v>
      </c>
      <c r="I691" s="4" t="str" cm="1">
        <f t="array" ref="I691">_xlfn.IFS(H691&lt;30, "Young Adult", H691&lt;50, "Adult", H691&gt;=50, "Senior")</f>
        <v>Senior</v>
      </c>
      <c r="J691" s="4" t="s">
        <v>3</v>
      </c>
      <c r="K691" s="4">
        <v>3</v>
      </c>
      <c r="L691" s="16">
        <v>300</v>
      </c>
      <c r="M691" s="16">
        <f xml:space="preserve"> K691 * L691</f>
        <v>900</v>
      </c>
      <c r="N691" s="16">
        <f>M691 * $Q$3</f>
        <v>13.5</v>
      </c>
      <c r="O691" s="16">
        <f>M691 * $Q$4</f>
        <v>18</v>
      </c>
    </row>
    <row r="692" spans="1:15">
      <c r="A692" s="2">
        <v>691</v>
      </c>
      <c r="B692" s="4">
        <f>DAY(E692)</f>
        <v>23</v>
      </c>
      <c r="C692" s="4">
        <f>MONTH(E692)</f>
        <v>4</v>
      </c>
      <c r="D692" s="4">
        <f>YEAR(E692)</f>
        <v>2023</v>
      </c>
      <c r="E692" s="3">
        <v>45039</v>
      </c>
      <c r="F692" s="4" t="s">
        <v>722</v>
      </c>
      <c r="G692" s="4" t="s">
        <v>7</v>
      </c>
      <c r="H692" s="4">
        <v>51</v>
      </c>
      <c r="I692" s="4" t="str" cm="1">
        <f t="array" ref="I692">_xlfn.IFS(H692&lt;30, "Young Adult", H692&lt;50, "Adult", H692&gt;=50, "Senior")</f>
        <v>Senior</v>
      </c>
      <c r="J692" s="4" t="s">
        <v>3</v>
      </c>
      <c r="K692" s="4">
        <v>3</v>
      </c>
      <c r="L692" s="16">
        <v>30</v>
      </c>
      <c r="M692" s="16">
        <f xml:space="preserve"> K692 * L692</f>
        <v>90</v>
      </c>
      <c r="N692" s="16">
        <f>M692 * $Q$3</f>
        <v>1.3499999999999999</v>
      </c>
      <c r="O692" s="16">
        <f>M692 * $Q$4</f>
        <v>1.8</v>
      </c>
    </row>
    <row r="693" spans="1:15">
      <c r="A693" s="2">
        <v>692</v>
      </c>
      <c r="B693" s="4">
        <f>DAY(E693)</f>
        <v>7</v>
      </c>
      <c r="C693" s="4">
        <f>MONTH(E693)</f>
        <v>9</v>
      </c>
      <c r="D693" s="4">
        <f>YEAR(E693)</f>
        <v>2023</v>
      </c>
      <c r="E693" s="3">
        <v>45176</v>
      </c>
      <c r="F693" s="4" t="s">
        <v>723</v>
      </c>
      <c r="G693" s="4" t="s">
        <v>7</v>
      </c>
      <c r="H693" s="4">
        <v>64</v>
      </c>
      <c r="I693" s="4" t="str" cm="1">
        <f t="array" ref="I693">_xlfn.IFS(H693&lt;30, "Young Adult", H693&lt;50, "Adult", H693&gt;=50, "Senior")</f>
        <v>Senior</v>
      </c>
      <c r="J693" s="4" t="s">
        <v>3</v>
      </c>
      <c r="K693" s="4">
        <v>2</v>
      </c>
      <c r="L693" s="16">
        <v>50</v>
      </c>
      <c r="M693" s="16">
        <f xml:space="preserve"> K693 * L693</f>
        <v>100</v>
      </c>
      <c r="N693" s="16">
        <f>M693 * $Q$3</f>
        <v>1.5</v>
      </c>
      <c r="O693" s="16">
        <f>M693 * $Q$4</f>
        <v>2</v>
      </c>
    </row>
    <row r="694" spans="1:15">
      <c r="A694" s="2">
        <v>693</v>
      </c>
      <c r="B694" s="4">
        <f>DAY(E694)</f>
        <v>23</v>
      </c>
      <c r="C694" s="4">
        <f>MONTH(E694)</f>
        <v>4</v>
      </c>
      <c r="D694" s="4">
        <f>YEAR(E694)</f>
        <v>2023</v>
      </c>
      <c r="E694" s="3">
        <v>45039</v>
      </c>
      <c r="F694" s="4" t="s">
        <v>724</v>
      </c>
      <c r="G694" s="4" t="s">
        <v>8</v>
      </c>
      <c r="H694" s="4">
        <v>41</v>
      </c>
      <c r="I694" s="4" t="str" cm="1">
        <f t="array" ref="I694">_xlfn.IFS(H694&lt;30, "Young Adult", H694&lt;50, "Adult", H694&gt;=50, "Senior")</f>
        <v>Adult</v>
      </c>
      <c r="J694" s="4" t="s">
        <v>2</v>
      </c>
      <c r="K694" s="4">
        <v>3</v>
      </c>
      <c r="L694" s="16">
        <v>500</v>
      </c>
      <c r="M694" s="16">
        <f xml:space="preserve"> K694 * L694</f>
        <v>1500</v>
      </c>
      <c r="N694" s="16">
        <f>M694 * $Q$3</f>
        <v>22.5</v>
      </c>
      <c r="O694" s="16">
        <f>M694 * $Q$4</f>
        <v>30</v>
      </c>
    </row>
    <row r="695" spans="1:15">
      <c r="A695" s="2">
        <v>694</v>
      </c>
      <c r="B695" s="4">
        <f>DAY(E695)</f>
        <v>20</v>
      </c>
      <c r="C695" s="4">
        <f>MONTH(E695)</f>
        <v>5</v>
      </c>
      <c r="D695" s="4">
        <f>YEAR(E695)</f>
        <v>2023</v>
      </c>
      <c r="E695" s="3">
        <v>45066</v>
      </c>
      <c r="F695" s="4" t="s">
        <v>725</v>
      </c>
      <c r="G695" s="4" t="s">
        <v>7</v>
      </c>
      <c r="H695" s="4">
        <v>39</v>
      </c>
      <c r="I695" s="4" t="str" cm="1">
        <f t="array" ref="I695">_xlfn.IFS(H695&lt;30, "Young Adult", H695&lt;50, "Adult", H695&gt;=50, "Senior")</f>
        <v>Adult</v>
      </c>
      <c r="J695" s="4" t="s">
        <v>4</v>
      </c>
      <c r="K695" s="4">
        <v>2</v>
      </c>
      <c r="L695" s="16">
        <v>25</v>
      </c>
      <c r="M695" s="16">
        <f xml:space="preserve"> K695 * L695</f>
        <v>50</v>
      </c>
      <c r="N695" s="16">
        <f>M695 * $Q$3</f>
        <v>0.75</v>
      </c>
      <c r="O695" s="16">
        <f>M695 * $Q$4</f>
        <v>1</v>
      </c>
    </row>
    <row r="696" spans="1:15">
      <c r="A696" s="2">
        <v>695</v>
      </c>
      <c r="B696" s="4">
        <f>DAY(E696)</f>
        <v>12</v>
      </c>
      <c r="C696" s="4">
        <f>MONTH(E696)</f>
        <v>8</v>
      </c>
      <c r="D696" s="4">
        <f>YEAR(E696)</f>
        <v>2023</v>
      </c>
      <c r="E696" s="3">
        <v>45150</v>
      </c>
      <c r="F696" s="4" t="s">
        <v>726</v>
      </c>
      <c r="G696" s="4" t="s">
        <v>7</v>
      </c>
      <c r="H696" s="4">
        <v>22</v>
      </c>
      <c r="I696" s="4" t="str" cm="1">
        <f t="array" ref="I696">_xlfn.IFS(H696&lt;30, "Young Adult", H696&lt;50, "Adult", H696&gt;=50, "Senior")</f>
        <v>Young Adult</v>
      </c>
      <c r="J696" s="4" t="s">
        <v>4</v>
      </c>
      <c r="K696" s="4">
        <v>3</v>
      </c>
      <c r="L696" s="16">
        <v>50</v>
      </c>
      <c r="M696" s="16">
        <f xml:space="preserve"> K696 * L696</f>
        <v>150</v>
      </c>
      <c r="N696" s="16">
        <f>M696 * $Q$3</f>
        <v>2.25</v>
      </c>
      <c r="O696" s="16">
        <f>M696 * $Q$4</f>
        <v>3</v>
      </c>
    </row>
    <row r="697" spans="1:15">
      <c r="A697" s="2">
        <v>696</v>
      </c>
      <c r="B697" s="4">
        <f>DAY(E697)</f>
        <v>6</v>
      </c>
      <c r="C697" s="4">
        <f>MONTH(E697)</f>
        <v>9</v>
      </c>
      <c r="D697" s="4">
        <f>YEAR(E697)</f>
        <v>2023</v>
      </c>
      <c r="E697" s="3">
        <v>45175</v>
      </c>
      <c r="F697" s="4" t="s">
        <v>727</v>
      </c>
      <c r="G697" s="4" t="s">
        <v>7</v>
      </c>
      <c r="H697" s="4">
        <v>50</v>
      </c>
      <c r="I697" s="4" t="str" cm="1">
        <f t="array" ref="I697">_xlfn.IFS(H697&lt;30, "Young Adult", H697&lt;50, "Adult", H697&gt;=50, "Senior")</f>
        <v>Senior</v>
      </c>
      <c r="J697" s="4" t="s">
        <v>3</v>
      </c>
      <c r="K697" s="4">
        <v>4</v>
      </c>
      <c r="L697" s="16">
        <v>50</v>
      </c>
      <c r="M697" s="16">
        <f xml:space="preserve"> K697 * L697</f>
        <v>200</v>
      </c>
      <c r="N697" s="16">
        <f>M697 * $Q$3</f>
        <v>3</v>
      </c>
      <c r="O697" s="16">
        <f>M697 * $Q$4</f>
        <v>4</v>
      </c>
    </row>
    <row r="698" spans="1:15">
      <c r="A698" s="2">
        <v>697</v>
      </c>
      <c r="B698" s="4">
        <f>DAY(E698)</f>
        <v>15</v>
      </c>
      <c r="C698" s="4">
        <f>MONTH(E698)</f>
        <v>1</v>
      </c>
      <c r="D698" s="4">
        <f>YEAR(E698)</f>
        <v>2023</v>
      </c>
      <c r="E698" s="3">
        <v>44941</v>
      </c>
      <c r="F698" s="4" t="s">
        <v>728</v>
      </c>
      <c r="G698" s="4" t="s">
        <v>8</v>
      </c>
      <c r="H698" s="4">
        <v>53</v>
      </c>
      <c r="I698" s="4" t="str" cm="1">
        <f t="array" ref="I698">_xlfn.IFS(H698&lt;30, "Young Adult", H698&lt;50, "Adult", H698&gt;=50, "Senior")</f>
        <v>Senior</v>
      </c>
      <c r="J698" s="4" t="s">
        <v>3</v>
      </c>
      <c r="K698" s="4">
        <v>1</v>
      </c>
      <c r="L698" s="16">
        <v>500</v>
      </c>
      <c r="M698" s="16">
        <f xml:space="preserve"> K698 * L698</f>
        <v>500</v>
      </c>
      <c r="N698" s="16">
        <f>M698 * $Q$3</f>
        <v>7.5</v>
      </c>
      <c r="O698" s="16">
        <f>M698 * $Q$4</f>
        <v>10</v>
      </c>
    </row>
    <row r="699" spans="1:15">
      <c r="A699" s="2">
        <v>698</v>
      </c>
      <c r="B699" s="4">
        <f>DAY(E699)</f>
        <v>19</v>
      </c>
      <c r="C699" s="4">
        <f>MONTH(E699)</f>
        <v>7</v>
      </c>
      <c r="D699" s="4">
        <f>YEAR(E699)</f>
        <v>2023</v>
      </c>
      <c r="E699" s="3">
        <v>45126</v>
      </c>
      <c r="F699" s="4" t="s">
        <v>729</v>
      </c>
      <c r="G699" s="4" t="s">
        <v>7</v>
      </c>
      <c r="H699" s="4">
        <v>64</v>
      </c>
      <c r="I699" s="4" t="str" cm="1">
        <f t="array" ref="I699">_xlfn.IFS(H699&lt;30, "Young Adult", H699&lt;50, "Adult", H699&gt;=50, "Senior")</f>
        <v>Senior</v>
      </c>
      <c r="J699" s="4" t="s">
        <v>4</v>
      </c>
      <c r="K699" s="4">
        <v>1</v>
      </c>
      <c r="L699" s="16">
        <v>300</v>
      </c>
      <c r="M699" s="16">
        <f xml:space="preserve"> K699 * L699</f>
        <v>300</v>
      </c>
      <c r="N699" s="16">
        <f>M699 * $Q$3</f>
        <v>4.5</v>
      </c>
      <c r="O699" s="16">
        <f>M699 * $Q$4</f>
        <v>6</v>
      </c>
    </row>
    <row r="700" spans="1:15">
      <c r="A700" s="2">
        <v>699</v>
      </c>
      <c r="B700" s="4">
        <f>DAY(E700)</f>
        <v>22</v>
      </c>
      <c r="C700" s="4">
        <f>MONTH(E700)</f>
        <v>6</v>
      </c>
      <c r="D700" s="4">
        <f>YEAR(E700)</f>
        <v>2023</v>
      </c>
      <c r="E700" s="3">
        <v>45099</v>
      </c>
      <c r="F700" s="4" t="s">
        <v>730</v>
      </c>
      <c r="G700" s="4" t="s">
        <v>7</v>
      </c>
      <c r="H700" s="4">
        <v>37</v>
      </c>
      <c r="I700" s="4" t="str" cm="1">
        <f t="array" ref="I700">_xlfn.IFS(H700&lt;30, "Young Adult", H700&lt;50, "Adult", H700&gt;=50, "Senior")</f>
        <v>Adult</v>
      </c>
      <c r="J700" s="4" t="s">
        <v>3</v>
      </c>
      <c r="K700" s="4">
        <v>4</v>
      </c>
      <c r="L700" s="16">
        <v>30</v>
      </c>
      <c r="M700" s="16">
        <f xml:space="preserve"> K700 * L700</f>
        <v>120</v>
      </c>
      <c r="N700" s="16">
        <f>M700 * $Q$3</f>
        <v>1.7999999999999998</v>
      </c>
      <c r="O700" s="16">
        <f>M700 * $Q$4</f>
        <v>2.4</v>
      </c>
    </row>
    <row r="701" spans="1:15">
      <c r="A701" s="2">
        <v>700</v>
      </c>
      <c r="B701" s="4">
        <f>DAY(E701)</f>
        <v>9</v>
      </c>
      <c r="C701" s="4">
        <f>MONTH(E701)</f>
        <v>12</v>
      </c>
      <c r="D701" s="4">
        <f>YEAR(E701)</f>
        <v>2023</v>
      </c>
      <c r="E701" s="3">
        <v>45269</v>
      </c>
      <c r="F701" s="4" t="s">
        <v>731</v>
      </c>
      <c r="G701" s="4" t="s">
        <v>8</v>
      </c>
      <c r="H701" s="4">
        <v>36</v>
      </c>
      <c r="I701" s="4" t="str" cm="1">
        <f t="array" ref="I701">_xlfn.IFS(H701&lt;30, "Young Adult", H701&lt;50, "Adult", H701&gt;=50, "Senior")</f>
        <v>Adult</v>
      </c>
      <c r="J701" s="4" t="s">
        <v>4</v>
      </c>
      <c r="K701" s="4">
        <v>4</v>
      </c>
      <c r="L701" s="16">
        <v>500</v>
      </c>
      <c r="M701" s="16">
        <f xml:space="preserve"> K701 * L701</f>
        <v>2000</v>
      </c>
      <c r="N701" s="16">
        <f>M701 * $Q$3</f>
        <v>30</v>
      </c>
      <c r="O701" s="16">
        <f>M701 * $Q$4</f>
        <v>40</v>
      </c>
    </row>
    <row r="702" spans="1:15">
      <c r="A702" s="2">
        <v>701</v>
      </c>
      <c r="B702" s="4">
        <f>DAY(E702)</f>
        <v>14</v>
      </c>
      <c r="C702" s="4">
        <f>MONTH(E702)</f>
        <v>12</v>
      </c>
      <c r="D702" s="4">
        <f>YEAR(E702)</f>
        <v>2023</v>
      </c>
      <c r="E702" s="3">
        <v>45274</v>
      </c>
      <c r="F702" s="4" t="s">
        <v>732</v>
      </c>
      <c r="G702" s="4" t="s">
        <v>7</v>
      </c>
      <c r="H702" s="4">
        <v>52</v>
      </c>
      <c r="I702" s="4" t="str" cm="1">
        <f t="array" ref="I702">_xlfn.IFS(H702&lt;30, "Young Adult", H702&lt;50, "Adult", H702&gt;=50, "Senior")</f>
        <v>Senior</v>
      </c>
      <c r="J702" s="4" t="s">
        <v>2</v>
      </c>
      <c r="K702" s="4">
        <v>2</v>
      </c>
      <c r="L702" s="16">
        <v>30</v>
      </c>
      <c r="M702" s="16">
        <f xml:space="preserve"> K702 * L702</f>
        <v>60</v>
      </c>
      <c r="N702" s="16">
        <f>M702 * $Q$3</f>
        <v>0.89999999999999991</v>
      </c>
      <c r="O702" s="16">
        <f>M702 * $Q$4</f>
        <v>1.2</v>
      </c>
    </row>
    <row r="703" spans="1:15">
      <c r="A703" s="2">
        <v>702</v>
      </c>
      <c r="B703" s="4">
        <f>DAY(E703)</f>
        <v>27</v>
      </c>
      <c r="C703" s="4">
        <f>MONTH(E703)</f>
        <v>7</v>
      </c>
      <c r="D703" s="4">
        <f>YEAR(E703)</f>
        <v>2023</v>
      </c>
      <c r="E703" s="3">
        <v>45134</v>
      </c>
      <c r="F703" s="4" t="s">
        <v>733</v>
      </c>
      <c r="G703" s="4" t="s">
        <v>7</v>
      </c>
      <c r="H703" s="4">
        <v>60</v>
      </c>
      <c r="I703" s="4" t="str" cm="1">
        <f t="array" ref="I703">_xlfn.IFS(H703&lt;30, "Young Adult", H703&lt;50, "Adult", H703&gt;=50, "Senior")</f>
        <v>Senior</v>
      </c>
      <c r="J703" s="4" t="s">
        <v>3</v>
      </c>
      <c r="K703" s="4">
        <v>2</v>
      </c>
      <c r="L703" s="16">
        <v>300</v>
      </c>
      <c r="M703" s="16">
        <f xml:space="preserve"> K703 * L703</f>
        <v>600</v>
      </c>
      <c r="N703" s="16">
        <f>M703 * $Q$3</f>
        <v>9</v>
      </c>
      <c r="O703" s="16">
        <f>M703 * $Q$4</f>
        <v>12</v>
      </c>
    </row>
    <row r="704" spans="1:15">
      <c r="A704" s="2">
        <v>703</v>
      </c>
      <c r="B704" s="4">
        <f>DAY(E704)</f>
        <v>26</v>
      </c>
      <c r="C704" s="4">
        <f>MONTH(E704)</f>
        <v>3</v>
      </c>
      <c r="D704" s="4">
        <f>YEAR(E704)</f>
        <v>2023</v>
      </c>
      <c r="E704" s="3">
        <v>45011</v>
      </c>
      <c r="F704" s="4" t="s">
        <v>734</v>
      </c>
      <c r="G704" s="4" t="s">
        <v>8</v>
      </c>
      <c r="H704" s="4">
        <v>34</v>
      </c>
      <c r="I704" s="4" t="str" cm="1">
        <f t="array" ref="I704">_xlfn.IFS(H704&lt;30, "Young Adult", H704&lt;50, "Adult", H704&gt;=50, "Senior")</f>
        <v>Adult</v>
      </c>
      <c r="J704" s="4" t="s">
        <v>4</v>
      </c>
      <c r="K704" s="4">
        <v>2</v>
      </c>
      <c r="L704" s="16">
        <v>50</v>
      </c>
      <c r="M704" s="16">
        <f xml:space="preserve"> K704 * L704</f>
        <v>100</v>
      </c>
      <c r="N704" s="16">
        <f>M704 * $Q$3</f>
        <v>1.5</v>
      </c>
      <c r="O704" s="16">
        <f>M704 * $Q$4</f>
        <v>2</v>
      </c>
    </row>
    <row r="705" spans="1:15">
      <c r="A705" s="2">
        <v>704</v>
      </c>
      <c r="B705" s="4">
        <f>DAY(E705)</f>
        <v>28</v>
      </c>
      <c r="C705" s="4">
        <f>MONTH(E705)</f>
        <v>8</v>
      </c>
      <c r="D705" s="4">
        <f>YEAR(E705)</f>
        <v>2023</v>
      </c>
      <c r="E705" s="3">
        <v>45166</v>
      </c>
      <c r="F705" s="4" t="s">
        <v>735</v>
      </c>
      <c r="G705" s="4" t="s">
        <v>7</v>
      </c>
      <c r="H705" s="4">
        <v>62</v>
      </c>
      <c r="I705" s="4" t="str" cm="1">
        <f t="array" ref="I705">_xlfn.IFS(H705&lt;30, "Young Adult", H705&lt;50, "Adult", H705&gt;=50, "Senior")</f>
        <v>Senior</v>
      </c>
      <c r="J705" s="4" t="s">
        <v>3</v>
      </c>
      <c r="K705" s="4">
        <v>3</v>
      </c>
      <c r="L705" s="16">
        <v>30</v>
      </c>
      <c r="M705" s="16">
        <f xml:space="preserve"> K705 * L705</f>
        <v>90</v>
      </c>
      <c r="N705" s="16">
        <f>M705 * $Q$3</f>
        <v>1.3499999999999999</v>
      </c>
      <c r="O705" s="16">
        <f>M705 * $Q$4</f>
        <v>1.8</v>
      </c>
    </row>
    <row r="706" spans="1:15">
      <c r="A706" s="2">
        <v>705</v>
      </c>
      <c r="B706" s="4">
        <f>DAY(E706)</f>
        <v>7</v>
      </c>
      <c r="C706" s="4">
        <f>MONTH(E706)</f>
        <v>3</v>
      </c>
      <c r="D706" s="4">
        <f>YEAR(E706)</f>
        <v>2023</v>
      </c>
      <c r="E706" s="3">
        <v>44992</v>
      </c>
      <c r="F706" s="4" t="s">
        <v>736</v>
      </c>
      <c r="G706" s="4" t="s">
        <v>8</v>
      </c>
      <c r="H706" s="4">
        <v>60</v>
      </c>
      <c r="I706" s="4" t="str" cm="1">
        <f t="array" ref="I706">_xlfn.IFS(H706&lt;30, "Young Adult", H706&lt;50, "Adult", H706&gt;=50, "Senior")</f>
        <v>Senior</v>
      </c>
      <c r="J706" s="4" t="s">
        <v>4</v>
      </c>
      <c r="K706" s="4">
        <v>2</v>
      </c>
      <c r="L706" s="16">
        <v>25</v>
      </c>
      <c r="M706" s="16">
        <f xml:space="preserve"> K706 * L706</f>
        <v>50</v>
      </c>
      <c r="N706" s="16">
        <f>M706 * $Q$3</f>
        <v>0.75</v>
      </c>
      <c r="O706" s="16">
        <f>M706 * $Q$4</f>
        <v>1</v>
      </c>
    </row>
    <row r="707" spans="1:15">
      <c r="A707" s="2">
        <v>706</v>
      </c>
      <c r="B707" s="4">
        <f>DAY(E707)</f>
        <v>15</v>
      </c>
      <c r="C707" s="4">
        <f>MONTH(E707)</f>
        <v>11</v>
      </c>
      <c r="D707" s="4">
        <f>YEAR(E707)</f>
        <v>2023</v>
      </c>
      <c r="E707" s="3">
        <v>45245</v>
      </c>
      <c r="F707" s="4" t="s">
        <v>737</v>
      </c>
      <c r="G707" s="4" t="s">
        <v>8</v>
      </c>
      <c r="H707" s="4">
        <v>51</v>
      </c>
      <c r="I707" s="4" t="str" cm="1">
        <f t="array" ref="I707">_xlfn.IFS(H707&lt;30, "Young Adult", H707&lt;50, "Adult", H707&gt;=50, "Senior")</f>
        <v>Senior</v>
      </c>
      <c r="J707" s="4" t="s">
        <v>4</v>
      </c>
      <c r="K707" s="4">
        <v>4</v>
      </c>
      <c r="L707" s="16">
        <v>25</v>
      </c>
      <c r="M707" s="16">
        <f xml:space="preserve"> K707 * L707</f>
        <v>100</v>
      </c>
      <c r="N707" s="16">
        <f>M707 * $Q$3</f>
        <v>1.5</v>
      </c>
      <c r="O707" s="16">
        <f>M707 * $Q$4</f>
        <v>2</v>
      </c>
    </row>
    <row r="708" spans="1:15">
      <c r="A708" s="2">
        <v>707</v>
      </c>
      <c r="B708" s="4">
        <f>DAY(E708)</f>
        <v>1</v>
      </c>
      <c r="C708" s="4">
        <f>MONTH(E708)</f>
        <v>10</v>
      </c>
      <c r="D708" s="4">
        <f>YEAR(E708)</f>
        <v>2023</v>
      </c>
      <c r="E708" s="3">
        <v>45200</v>
      </c>
      <c r="F708" s="4" t="s">
        <v>738</v>
      </c>
      <c r="G708" s="4" t="s">
        <v>7</v>
      </c>
      <c r="H708" s="4">
        <v>26</v>
      </c>
      <c r="I708" s="4" t="str" cm="1">
        <f t="array" ref="I708">_xlfn.IFS(H708&lt;30, "Young Adult", H708&lt;50, "Adult", H708&gt;=50, "Senior")</f>
        <v>Young Adult</v>
      </c>
      <c r="J708" s="4" t="s">
        <v>3</v>
      </c>
      <c r="K708" s="4">
        <v>1</v>
      </c>
      <c r="L708" s="16">
        <v>500</v>
      </c>
      <c r="M708" s="16">
        <f xml:space="preserve"> K708 * L708</f>
        <v>500</v>
      </c>
      <c r="N708" s="16">
        <f>M708 * $Q$3</f>
        <v>7.5</v>
      </c>
      <c r="O708" s="16">
        <f>M708 * $Q$4</f>
        <v>10</v>
      </c>
    </row>
    <row r="709" spans="1:15">
      <c r="A709" s="2">
        <v>708</v>
      </c>
      <c r="B709" s="4">
        <f>DAY(E709)</f>
        <v>14</v>
      </c>
      <c r="C709" s="4">
        <f>MONTH(E709)</f>
        <v>1</v>
      </c>
      <c r="D709" s="4">
        <f>YEAR(E709)</f>
        <v>2023</v>
      </c>
      <c r="E709" s="3">
        <v>44940</v>
      </c>
      <c r="F709" s="4" t="s">
        <v>739</v>
      </c>
      <c r="G709" s="4" t="s">
        <v>7</v>
      </c>
      <c r="H709" s="4">
        <v>43</v>
      </c>
      <c r="I709" s="4" t="str" cm="1">
        <f t="array" ref="I709">_xlfn.IFS(H709&lt;30, "Young Adult", H709&lt;50, "Adult", H709&gt;=50, "Senior")</f>
        <v>Adult</v>
      </c>
      <c r="J709" s="4" t="s">
        <v>2</v>
      </c>
      <c r="K709" s="4">
        <v>3</v>
      </c>
      <c r="L709" s="16">
        <v>300</v>
      </c>
      <c r="M709" s="16">
        <f xml:space="preserve"> K709 * L709</f>
        <v>900</v>
      </c>
      <c r="N709" s="16">
        <f>M709 * $Q$3</f>
        <v>13.5</v>
      </c>
      <c r="O709" s="16">
        <f>M709 * $Q$4</f>
        <v>18</v>
      </c>
    </row>
    <row r="710" spans="1:15">
      <c r="A710" s="2">
        <v>709</v>
      </c>
      <c r="B710" s="4">
        <f>DAY(E710)</f>
        <v>21</v>
      </c>
      <c r="C710" s="4">
        <f>MONTH(E710)</f>
        <v>7</v>
      </c>
      <c r="D710" s="4">
        <f>YEAR(E710)</f>
        <v>2023</v>
      </c>
      <c r="E710" s="3">
        <v>45128</v>
      </c>
      <c r="F710" s="4" t="s">
        <v>740</v>
      </c>
      <c r="G710" s="4" t="s">
        <v>7</v>
      </c>
      <c r="H710" s="4">
        <v>19</v>
      </c>
      <c r="I710" s="4" t="str" cm="1">
        <f t="array" ref="I710">_xlfn.IFS(H710&lt;30, "Young Adult", H710&lt;50, "Adult", H710&gt;=50, "Senior")</f>
        <v>Young Adult</v>
      </c>
      <c r="J710" s="4" t="s">
        <v>4</v>
      </c>
      <c r="K710" s="4">
        <v>2</v>
      </c>
      <c r="L710" s="16">
        <v>500</v>
      </c>
      <c r="M710" s="16">
        <f xml:space="preserve"> K710 * L710</f>
        <v>1000</v>
      </c>
      <c r="N710" s="16">
        <f>M710 * $Q$3</f>
        <v>15</v>
      </c>
      <c r="O710" s="16">
        <f>M710 * $Q$4</f>
        <v>20</v>
      </c>
    </row>
    <row r="711" spans="1:15">
      <c r="A711" s="2">
        <v>710</v>
      </c>
      <c r="B711" s="4">
        <f>DAY(E711)</f>
        <v>31</v>
      </c>
      <c r="C711" s="4">
        <f>MONTH(E711)</f>
        <v>10</v>
      </c>
      <c r="D711" s="4">
        <f>YEAR(E711)</f>
        <v>2023</v>
      </c>
      <c r="E711" s="3">
        <v>45230</v>
      </c>
      <c r="F711" s="4" t="s">
        <v>741</v>
      </c>
      <c r="G711" s="4" t="s">
        <v>7</v>
      </c>
      <c r="H711" s="4">
        <v>26</v>
      </c>
      <c r="I711" s="4" t="str" cm="1">
        <f t="array" ref="I711">_xlfn.IFS(H711&lt;30, "Young Adult", H711&lt;50, "Adult", H711&gt;=50, "Senior")</f>
        <v>Young Adult</v>
      </c>
      <c r="J711" s="4" t="s">
        <v>4</v>
      </c>
      <c r="K711" s="4">
        <v>3</v>
      </c>
      <c r="L711" s="16">
        <v>500</v>
      </c>
      <c r="M711" s="16">
        <f xml:space="preserve"> K711 * L711</f>
        <v>1500</v>
      </c>
      <c r="N711" s="16">
        <f>M711 * $Q$3</f>
        <v>22.5</v>
      </c>
      <c r="O711" s="16">
        <f>M711 * $Q$4</f>
        <v>30</v>
      </c>
    </row>
    <row r="712" spans="1:15">
      <c r="A712" s="2">
        <v>711</v>
      </c>
      <c r="B712" s="4">
        <f>DAY(E712)</f>
        <v>16</v>
      </c>
      <c r="C712" s="4">
        <f>MONTH(E712)</f>
        <v>10</v>
      </c>
      <c r="D712" s="4">
        <f>YEAR(E712)</f>
        <v>2023</v>
      </c>
      <c r="E712" s="3">
        <v>45215</v>
      </c>
      <c r="F712" s="4" t="s">
        <v>742</v>
      </c>
      <c r="G712" s="4" t="s">
        <v>8</v>
      </c>
      <c r="H712" s="4">
        <v>26</v>
      </c>
      <c r="I712" s="4" t="str" cm="1">
        <f t="array" ref="I712">_xlfn.IFS(H712&lt;30, "Young Adult", H712&lt;50, "Adult", H712&gt;=50, "Senior")</f>
        <v>Young Adult</v>
      </c>
      <c r="J712" s="4" t="s">
        <v>4</v>
      </c>
      <c r="K712" s="4">
        <v>3</v>
      </c>
      <c r="L712" s="16">
        <v>500</v>
      </c>
      <c r="M712" s="16">
        <f xml:space="preserve"> K712 * L712</f>
        <v>1500</v>
      </c>
      <c r="N712" s="16">
        <f>M712 * $Q$3</f>
        <v>22.5</v>
      </c>
      <c r="O712" s="16">
        <f>M712 * $Q$4</f>
        <v>30</v>
      </c>
    </row>
    <row r="713" spans="1:15">
      <c r="A713" s="2">
        <v>712</v>
      </c>
      <c r="B713" s="4">
        <f>DAY(E713)</f>
        <v>6</v>
      </c>
      <c r="C713" s="4">
        <f>MONTH(E713)</f>
        <v>12</v>
      </c>
      <c r="D713" s="4">
        <f>YEAR(E713)</f>
        <v>2023</v>
      </c>
      <c r="E713" s="3">
        <v>45266</v>
      </c>
      <c r="F713" s="4" t="s">
        <v>743</v>
      </c>
      <c r="G713" s="4" t="s">
        <v>7</v>
      </c>
      <c r="H713" s="4">
        <v>57</v>
      </c>
      <c r="I713" s="4" t="str" cm="1">
        <f t="array" ref="I713">_xlfn.IFS(H713&lt;30, "Young Adult", H713&lt;50, "Adult", H713&gt;=50, "Senior")</f>
        <v>Senior</v>
      </c>
      <c r="J713" s="4" t="s">
        <v>2</v>
      </c>
      <c r="K713" s="4">
        <v>2</v>
      </c>
      <c r="L713" s="16">
        <v>25</v>
      </c>
      <c r="M713" s="16">
        <f xml:space="preserve"> K713 * L713</f>
        <v>50</v>
      </c>
      <c r="N713" s="16">
        <f>M713 * $Q$3</f>
        <v>0.75</v>
      </c>
      <c r="O713" s="16">
        <f>M713 * $Q$4</f>
        <v>1</v>
      </c>
    </row>
    <row r="714" spans="1:15">
      <c r="A714" s="2">
        <v>713</v>
      </c>
      <c r="B714" s="4">
        <f>DAY(E714)</f>
        <v>14</v>
      </c>
      <c r="C714" s="4">
        <f>MONTH(E714)</f>
        <v>1</v>
      </c>
      <c r="D714" s="4">
        <f>YEAR(E714)</f>
        <v>2023</v>
      </c>
      <c r="E714" s="3">
        <v>44940</v>
      </c>
      <c r="F714" s="4" t="s">
        <v>744</v>
      </c>
      <c r="G714" s="4" t="s">
        <v>8</v>
      </c>
      <c r="H714" s="4">
        <v>34</v>
      </c>
      <c r="I714" s="4" t="str" cm="1">
        <f t="array" ref="I714">_xlfn.IFS(H714&lt;30, "Young Adult", H714&lt;50, "Adult", H714&gt;=50, "Senior")</f>
        <v>Adult</v>
      </c>
      <c r="J714" s="4" t="s">
        <v>2</v>
      </c>
      <c r="K714" s="4">
        <v>3</v>
      </c>
      <c r="L714" s="16">
        <v>25</v>
      </c>
      <c r="M714" s="16">
        <f xml:space="preserve"> K714 * L714</f>
        <v>75</v>
      </c>
      <c r="N714" s="16">
        <f>M714 * $Q$3</f>
        <v>1.125</v>
      </c>
      <c r="O714" s="16">
        <f>M714 * $Q$4</f>
        <v>1.5</v>
      </c>
    </row>
    <row r="715" spans="1:15">
      <c r="A715" s="2">
        <v>714</v>
      </c>
      <c r="B715" s="4">
        <f>DAY(E715)</f>
        <v>12</v>
      </c>
      <c r="C715" s="4">
        <f>MONTH(E715)</f>
        <v>2</v>
      </c>
      <c r="D715" s="4">
        <f>YEAR(E715)</f>
        <v>2023</v>
      </c>
      <c r="E715" s="3">
        <v>44969</v>
      </c>
      <c r="F715" s="4" t="s">
        <v>745</v>
      </c>
      <c r="G715" s="4" t="s">
        <v>7</v>
      </c>
      <c r="H715" s="4">
        <v>18</v>
      </c>
      <c r="I715" s="4" t="str" cm="1">
        <f t="array" ref="I715">_xlfn.IFS(H715&lt;30, "Young Adult", H715&lt;50, "Adult", H715&gt;=50, "Senior")</f>
        <v>Young Adult</v>
      </c>
      <c r="J715" s="4" t="s">
        <v>3</v>
      </c>
      <c r="K715" s="4">
        <v>1</v>
      </c>
      <c r="L715" s="16">
        <v>500</v>
      </c>
      <c r="M715" s="16">
        <f xml:space="preserve"> K715 * L715</f>
        <v>500</v>
      </c>
      <c r="N715" s="16">
        <f>M715 * $Q$3</f>
        <v>7.5</v>
      </c>
      <c r="O715" s="16">
        <f>M715 * $Q$4</f>
        <v>10</v>
      </c>
    </row>
    <row r="716" spans="1:15">
      <c r="A716" s="2">
        <v>715</v>
      </c>
      <c r="B716" s="4">
        <f>DAY(E716)</f>
        <v>26</v>
      </c>
      <c r="C716" s="4">
        <f>MONTH(E716)</f>
        <v>11</v>
      </c>
      <c r="D716" s="4">
        <f>YEAR(E716)</f>
        <v>2023</v>
      </c>
      <c r="E716" s="3">
        <v>45256</v>
      </c>
      <c r="F716" s="4" t="s">
        <v>746</v>
      </c>
      <c r="G716" s="4" t="s">
        <v>7</v>
      </c>
      <c r="H716" s="4">
        <v>42</v>
      </c>
      <c r="I716" s="4" t="str" cm="1">
        <f t="array" ref="I716">_xlfn.IFS(H716&lt;30, "Young Adult", H716&lt;50, "Adult", H716&gt;=50, "Senior")</f>
        <v>Adult</v>
      </c>
      <c r="J716" s="4" t="s">
        <v>2</v>
      </c>
      <c r="K716" s="4">
        <v>4</v>
      </c>
      <c r="L716" s="16">
        <v>25</v>
      </c>
      <c r="M716" s="16">
        <f xml:space="preserve"> K716 * L716</f>
        <v>100</v>
      </c>
      <c r="N716" s="16">
        <f>M716 * $Q$3</f>
        <v>1.5</v>
      </c>
      <c r="O716" s="16">
        <f>M716 * $Q$4</f>
        <v>2</v>
      </c>
    </row>
    <row r="717" spans="1:15">
      <c r="A717" s="2">
        <v>716</v>
      </c>
      <c r="B717" s="4">
        <f>DAY(E717)</f>
        <v>8</v>
      </c>
      <c r="C717" s="4">
        <f>MONTH(E717)</f>
        <v>8</v>
      </c>
      <c r="D717" s="4">
        <f>YEAR(E717)</f>
        <v>2023</v>
      </c>
      <c r="E717" s="3">
        <v>45146</v>
      </c>
      <c r="F717" s="4" t="s">
        <v>747</v>
      </c>
      <c r="G717" s="4" t="s">
        <v>7</v>
      </c>
      <c r="H717" s="4">
        <v>60</v>
      </c>
      <c r="I717" s="4" t="str" cm="1">
        <f t="array" ref="I717">_xlfn.IFS(H717&lt;30, "Young Adult", H717&lt;50, "Adult", H717&gt;=50, "Senior")</f>
        <v>Senior</v>
      </c>
      <c r="J717" s="4" t="s">
        <v>3</v>
      </c>
      <c r="K717" s="4">
        <v>4</v>
      </c>
      <c r="L717" s="16">
        <v>300</v>
      </c>
      <c r="M717" s="16">
        <f xml:space="preserve"> K717 * L717</f>
        <v>1200</v>
      </c>
      <c r="N717" s="16">
        <f>M717 * $Q$3</f>
        <v>18</v>
      </c>
      <c r="O717" s="16">
        <f>M717 * $Q$4</f>
        <v>24</v>
      </c>
    </row>
    <row r="718" spans="1:15">
      <c r="A718" s="2">
        <v>717</v>
      </c>
      <c r="B718" s="4">
        <f>DAY(E718)</f>
        <v>11</v>
      </c>
      <c r="C718" s="4">
        <f>MONTH(E718)</f>
        <v>3</v>
      </c>
      <c r="D718" s="4">
        <f>YEAR(E718)</f>
        <v>2023</v>
      </c>
      <c r="E718" s="3">
        <v>44996</v>
      </c>
      <c r="F718" s="4" t="s">
        <v>748</v>
      </c>
      <c r="G718" s="4" t="s">
        <v>8</v>
      </c>
      <c r="H718" s="4">
        <v>57</v>
      </c>
      <c r="I718" s="4" t="str" cm="1">
        <f t="array" ref="I718">_xlfn.IFS(H718&lt;30, "Young Adult", H718&lt;50, "Adult", H718&gt;=50, "Senior")</f>
        <v>Senior</v>
      </c>
      <c r="J718" s="4" t="s">
        <v>3</v>
      </c>
      <c r="K718" s="4">
        <v>1</v>
      </c>
      <c r="L718" s="16">
        <v>500</v>
      </c>
      <c r="M718" s="16">
        <f xml:space="preserve"> K718 * L718</f>
        <v>500</v>
      </c>
      <c r="N718" s="16">
        <f>M718 * $Q$3</f>
        <v>7.5</v>
      </c>
      <c r="O718" s="16">
        <f>M718 * $Q$4</f>
        <v>10</v>
      </c>
    </row>
    <row r="719" spans="1:15">
      <c r="A719" s="2">
        <v>718</v>
      </c>
      <c r="B719" s="4">
        <f>DAY(E719)</f>
        <v>25</v>
      </c>
      <c r="C719" s="4">
        <f>MONTH(E719)</f>
        <v>8</v>
      </c>
      <c r="D719" s="4">
        <f>YEAR(E719)</f>
        <v>2023</v>
      </c>
      <c r="E719" s="3">
        <v>45163</v>
      </c>
      <c r="F719" s="4" t="s">
        <v>749</v>
      </c>
      <c r="G719" s="4" t="s">
        <v>7</v>
      </c>
      <c r="H719" s="4">
        <v>59</v>
      </c>
      <c r="I719" s="4" t="str" cm="1">
        <f t="array" ref="I719">_xlfn.IFS(H719&lt;30, "Young Adult", H719&lt;50, "Adult", H719&gt;=50, "Senior")</f>
        <v>Senior</v>
      </c>
      <c r="J719" s="4" t="s">
        <v>2</v>
      </c>
      <c r="K719" s="4">
        <v>3</v>
      </c>
      <c r="L719" s="16">
        <v>25</v>
      </c>
      <c r="M719" s="16">
        <f xml:space="preserve"> K719 * L719</f>
        <v>75</v>
      </c>
      <c r="N719" s="16">
        <f>M719 * $Q$3</f>
        <v>1.125</v>
      </c>
      <c r="O719" s="16">
        <f>M719 * $Q$4</f>
        <v>1.5</v>
      </c>
    </row>
    <row r="720" spans="1:15">
      <c r="A720" s="2">
        <v>719</v>
      </c>
      <c r="B720" s="4">
        <f>DAY(E720)</f>
        <v>4</v>
      </c>
      <c r="C720" s="4">
        <f>MONTH(E720)</f>
        <v>4</v>
      </c>
      <c r="D720" s="4">
        <f>YEAR(E720)</f>
        <v>2023</v>
      </c>
      <c r="E720" s="3">
        <v>45020</v>
      </c>
      <c r="F720" s="4" t="s">
        <v>750</v>
      </c>
      <c r="G720" s="4" t="s">
        <v>7</v>
      </c>
      <c r="H720" s="4">
        <v>42</v>
      </c>
      <c r="I720" s="4" t="str" cm="1">
        <f t="array" ref="I720">_xlfn.IFS(H720&lt;30, "Young Adult", H720&lt;50, "Adult", H720&gt;=50, "Senior")</f>
        <v>Adult</v>
      </c>
      <c r="J720" s="4" t="s">
        <v>3</v>
      </c>
      <c r="K720" s="4">
        <v>2</v>
      </c>
      <c r="L720" s="16">
        <v>30</v>
      </c>
      <c r="M720" s="16">
        <f xml:space="preserve"> K720 * L720</f>
        <v>60</v>
      </c>
      <c r="N720" s="16">
        <f>M720 * $Q$3</f>
        <v>0.89999999999999991</v>
      </c>
      <c r="O720" s="16">
        <f>M720 * $Q$4</f>
        <v>1.2</v>
      </c>
    </row>
    <row r="721" spans="1:15">
      <c r="A721" s="2">
        <v>720</v>
      </c>
      <c r="B721" s="4">
        <f>DAY(E721)</f>
        <v>26</v>
      </c>
      <c r="C721" s="4">
        <f>MONTH(E721)</f>
        <v>1</v>
      </c>
      <c r="D721" s="4">
        <f>YEAR(E721)</f>
        <v>2023</v>
      </c>
      <c r="E721" s="3">
        <v>44952</v>
      </c>
      <c r="F721" s="4" t="s">
        <v>751</v>
      </c>
      <c r="G721" s="4" t="s">
        <v>7</v>
      </c>
      <c r="H721" s="4">
        <v>56</v>
      </c>
      <c r="I721" s="4" t="str" cm="1">
        <f t="array" ref="I721">_xlfn.IFS(H721&lt;30, "Young Adult", H721&lt;50, "Adult", H721&gt;=50, "Senior")</f>
        <v>Senior</v>
      </c>
      <c r="J721" s="4" t="s">
        <v>2</v>
      </c>
      <c r="K721" s="4">
        <v>3</v>
      </c>
      <c r="L721" s="16">
        <v>500</v>
      </c>
      <c r="M721" s="16">
        <f xml:space="preserve"> K721 * L721</f>
        <v>1500</v>
      </c>
      <c r="N721" s="16">
        <f>M721 * $Q$3</f>
        <v>22.5</v>
      </c>
      <c r="O721" s="16">
        <f>M721 * $Q$4</f>
        <v>30</v>
      </c>
    </row>
    <row r="722" spans="1:15">
      <c r="A722" s="2">
        <v>721</v>
      </c>
      <c r="B722" s="4">
        <f>DAY(E722)</f>
        <v>14</v>
      </c>
      <c r="C722" s="4">
        <f>MONTH(E722)</f>
        <v>5</v>
      </c>
      <c r="D722" s="4">
        <f>YEAR(E722)</f>
        <v>2023</v>
      </c>
      <c r="E722" s="3">
        <v>45060</v>
      </c>
      <c r="F722" s="4" t="s">
        <v>752</v>
      </c>
      <c r="G722" s="4" t="s">
        <v>7</v>
      </c>
      <c r="H722" s="4">
        <v>52</v>
      </c>
      <c r="I722" s="4" t="str" cm="1">
        <f t="array" ref="I722">_xlfn.IFS(H722&lt;30, "Young Adult", H722&lt;50, "Adult", H722&gt;=50, "Senior")</f>
        <v>Senior</v>
      </c>
      <c r="J722" s="4" t="s">
        <v>3</v>
      </c>
      <c r="K722" s="4">
        <v>1</v>
      </c>
      <c r="L722" s="16">
        <v>500</v>
      </c>
      <c r="M722" s="16">
        <f xml:space="preserve"> K722 * L722</f>
        <v>500</v>
      </c>
      <c r="N722" s="16">
        <f>M722 * $Q$3</f>
        <v>7.5</v>
      </c>
      <c r="O722" s="16">
        <f>M722 * $Q$4</f>
        <v>10</v>
      </c>
    </row>
    <row r="723" spans="1:15">
      <c r="A723" s="2">
        <v>722</v>
      </c>
      <c r="B723" s="4">
        <f>DAY(E723)</f>
        <v>14</v>
      </c>
      <c r="C723" s="4">
        <f>MONTH(E723)</f>
        <v>7</v>
      </c>
      <c r="D723" s="4">
        <f>YEAR(E723)</f>
        <v>2023</v>
      </c>
      <c r="E723" s="3">
        <v>45121</v>
      </c>
      <c r="F723" s="4" t="s">
        <v>753</v>
      </c>
      <c r="G723" s="4" t="s">
        <v>8</v>
      </c>
      <c r="H723" s="4">
        <v>20</v>
      </c>
      <c r="I723" s="4" t="str" cm="1">
        <f t="array" ref="I723">_xlfn.IFS(H723&lt;30, "Young Adult", H723&lt;50, "Adult", H723&gt;=50, "Senior")</f>
        <v>Young Adult</v>
      </c>
      <c r="J723" s="4" t="s">
        <v>2</v>
      </c>
      <c r="K723" s="4">
        <v>3</v>
      </c>
      <c r="L723" s="16">
        <v>300</v>
      </c>
      <c r="M723" s="16">
        <f xml:space="preserve"> K723 * L723</f>
        <v>900</v>
      </c>
      <c r="N723" s="16">
        <f>M723 * $Q$3</f>
        <v>13.5</v>
      </c>
      <c r="O723" s="16">
        <f>M723 * $Q$4</f>
        <v>18</v>
      </c>
    </row>
    <row r="724" spans="1:15">
      <c r="A724" s="2">
        <v>723</v>
      </c>
      <c r="B724" s="4">
        <f>DAY(E724)</f>
        <v>17</v>
      </c>
      <c r="C724" s="4">
        <f>MONTH(E724)</f>
        <v>6</v>
      </c>
      <c r="D724" s="4">
        <f>YEAR(E724)</f>
        <v>2023</v>
      </c>
      <c r="E724" s="3">
        <v>45094</v>
      </c>
      <c r="F724" s="4" t="s">
        <v>754</v>
      </c>
      <c r="G724" s="4" t="s">
        <v>7</v>
      </c>
      <c r="H724" s="4">
        <v>54</v>
      </c>
      <c r="I724" s="4" t="str" cm="1">
        <f t="array" ref="I724">_xlfn.IFS(H724&lt;30, "Young Adult", H724&lt;50, "Adult", H724&gt;=50, "Senior")</f>
        <v>Senior</v>
      </c>
      <c r="J724" s="4" t="s">
        <v>2</v>
      </c>
      <c r="K724" s="4">
        <v>4</v>
      </c>
      <c r="L724" s="16">
        <v>50</v>
      </c>
      <c r="M724" s="16">
        <f xml:space="preserve"> K724 * L724</f>
        <v>200</v>
      </c>
      <c r="N724" s="16">
        <f>M724 * $Q$3</f>
        <v>3</v>
      </c>
      <c r="O724" s="16">
        <f>M724 * $Q$4</f>
        <v>4</v>
      </c>
    </row>
    <row r="725" spans="1:15">
      <c r="A725" s="2">
        <v>724</v>
      </c>
      <c r="B725" s="4">
        <f>DAY(E725)</f>
        <v>19</v>
      </c>
      <c r="C725" s="4">
        <f>MONTH(E725)</f>
        <v>4</v>
      </c>
      <c r="D725" s="4">
        <f>YEAR(E725)</f>
        <v>2023</v>
      </c>
      <c r="E725" s="3">
        <v>45035</v>
      </c>
      <c r="F725" s="4" t="s">
        <v>755</v>
      </c>
      <c r="G725" s="4" t="s">
        <v>8</v>
      </c>
      <c r="H725" s="4">
        <v>61</v>
      </c>
      <c r="I725" s="4" t="str" cm="1">
        <f t="array" ref="I725">_xlfn.IFS(H725&lt;30, "Young Adult", H725&lt;50, "Adult", H725&gt;=50, "Senior")</f>
        <v>Senior</v>
      </c>
      <c r="J725" s="4" t="s">
        <v>3</v>
      </c>
      <c r="K725" s="4">
        <v>3</v>
      </c>
      <c r="L725" s="16">
        <v>50</v>
      </c>
      <c r="M725" s="16">
        <f xml:space="preserve"> K725 * L725</f>
        <v>150</v>
      </c>
      <c r="N725" s="16">
        <f>M725 * $Q$3</f>
        <v>2.25</v>
      </c>
      <c r="O725" s="16">
        <f>M725 * $Q$4</f>
        <v>3</v>
      </c>
    </row>
    <row r="726" spans="1:15">
      <c r="A726" s="2">
        <v>725</v>
      </c>
      <c r="B726" s="4">
        <f>DAY(E726)</f>
        <v>21</v>
      </c>
      <c r="C726" s="4">
        <f>MONTH(E726)</f>
        <v>8</v>
      </c>
      <c r="D726" s="4">
        <f>YEAR(E726)</f>
        <v>2023</v>
      </c>
      <c r="E726" s="3">
        <v>45159</v>
      </c>
      <c r="F726" s="4" t="s">
        <v>756</v>
      </c>
      <c r="G726" s="4" t="s">
        <v>8</v>
      </c>
      <c r="H726" s="4">
        <v>61</v>
      </c>
      <c r="I726" s="4" t="str" cm="1">
        <f t="array" ref="I726">_xlfn.IFS(H726&lt;30, "Young Adult", H726&lt;50, "Adult", H726&gt;=50, "Senior")</f>
        <v>Senior</v>
      </c>
      <c r="J726" s="4" t="s">
        <v>4</v>
      </c>
      <c r="K726" s="4">
        <v>1</v>
      </c>
      <c r="L726" s="16">
        <v>300</v>
      </c>
      <c r="M726" s="16">
        <f xml:space="preserve"> K726 * L726</f>
        <v>300</v>
      </c>
      <c r="N726" s="16">
        <f>M726 * $Q$3</f>
        <v>4.5</v>
      </c>
      <c r="O726" s="16">
        <f>M726 * $Q$4</f>
        <v>6</v>
      </c>
    </row>
    <row r="727" spans="1:15">
      <c r="A727" s="2">
        <v>726</v>
      </c>
      <c r="B727" s="4">
        <f>DAY(E727)</f>
        <v>17</v>
      </c>
      <c r="C727" s="4">
        <f>MONTH(E727)</f>
        <v>6</v>
      </c>
      <c r="D727" s="4">
        <f>YEAR(E727)</f>
        <v>2023</v>
      </c>
      <c r="E727" s="3">
        <v>45094</v>
      </c>
      <c r="F727" s="4" t="s">
        <v>757</v>
      </c>
      <c r="G727" s="4" t="s">
        <v>8</v>
      </c>
      <c r="H727" s="4">
        <v>47</v>
      </c>
      <c r="I727" s="4" t="str" cm="1">
        <f t="array" ref="I727">_xlfn.IFS(H727&lt;30, "Young Adult", H727&lt;50, "Adult", H727&gt;=50, "Senior")</f>
        <v>Adult</v>
      </c>
      <c r="J727" s="4" t="s">
        <v>3</v>
      </c>
      <c r="K727" s="4">
        <v>4</v>
      </c>
      <c r="L727" s="16">
        <v>300</v>
      </c>
      <c r="M727" s="16">
        <f xml:space="preserve"> K727 * L727</f>
        <v>1200</v>
      </c>
      <c r="N727" s="16">
        <f>M727 * $Q$3</f>
        <v>18</v>
      </c>
      <c r="O727" s="16">
        <f>M727 * $Q$4</f>
        <v>24</v>
      </c>
    </row>
    <row r="728" spans="1:15">
      <c r="A728" s="2">
        <v>727</v>
      </c>
      <c r="B728" s="4">
        <f>DAY(E728)</f>
        <v>22</v>
      </c>
      <c r="C728" s="4">
        <f>MONTH(E728)</f>
        <v>6</v>
      </c>
      <c r="D728" s="4">
        <f>YEAR(E728)</f>
        <v>2023</v>
      </c>
      <c r="E728" s="3">
        <v>45099</v>
      </c>
      <c r="F728" s="4" t="s">
        <v>758</v>
      </c>
      <c r="G728" s="4" t="s">
        <v>8</v>
      </c>
      <c r="H728" s="4">
        <v>55</v>
      </c>
      <c r="I728" s="4" t="str" cm="1">
        <f t="array" ref="I728">_xlfn.IFS(H728&lt;30, "Young Adult", H728&lt;50, "Adult", H728&gt;=50, "Senior")</f>
        <v>Senior</v>
      </c>
      <c r="J728" s="4" t="s">
        <v>2</v>
      </c>
      <c r="K728" s="4">
        <v>3</v>
      </c>
      <c r="L728" s="16">
        <v>300</v>
      </c>
      <c r="M728" s="16">
        <f xml:space="preserve"> K728 * L728</f>
        <v>900</v>
      </c>
      <c r="N728" s="16">
        <f>M728 * $Q$3</f>
        <v>13.5</v>
      </c>
      <c r="O728" s="16">
        <f>M728 * $Q$4</f>
        <v>18</v>
      </c>
    </row>
    <row r="729" spans="1:15">
      <c r="A729" s="2">
        <v>728</v>
      </c>
      <c r="B729" s="4">
        <f>DAY(E729)</f>
        <v>14</v>
      </c>
      <c r="C729" s="4">
        <f>MONTH(E729)</f>
        <v>7</v>
      </c>
      <c r="D729" s="4">
        <f>YEAR(E729)</f>
        <v>2023</v>
      </c>
      <c r="E729" s="3">
        <v>45121</v>
      </c>
      <c r="F729" s="4" t="s">
        <v>759</v>
      </c>
      <c r="G729" s="4" t="s">
        <v>8</v>
      </c>
      <c r="H729" s="4">
        <v>51</v>
      </c>
      <c r="I729" s="4" t="str" cm="1">
        <f t="array" ref="I729">_xlfn.IFS(H729&lt;30, "Young Adult", H729&lt;50, "Adult", H729&gt;=50, "Senior")</f>
        <v>Senior</v>
      </c>
      <c r="J729" s="4" t="s">
        <v>4</v>
      </c>
      <c r="K729" s="4">
        <v>3</v>
      </c>
      <c r="L729" s="16">
        <v>50</v>
      </c>
      <c r="M729" s="16">
        <f xml:space="preserve"> K729 * L729</f>
        <v>150</v>
      </c>
      <c r="N729" s="16">
        <f>M729 * $Q$3</f>
        <v>2.25</v>
      </c>
      <c r="O729" s="16">
        <f>M729 * $Q$4</f>
        <v>3</v>
      </c>
    </row>
    <row r="730" spans="1:15">
      <c r="A730" s="2">
        <v>729</v>
      </c>
      <c r="B730" s="4">
        <f>DAY(E730)</f>
        <v>23</v>
      </c>
      <c r="C730" s="4">
        <f>MONTH(E730)</f>
        <v>5</v>
      </c>
      <c r="D730" s="4">
        <f>YEAR(E730)</f>
        <v>2023</v>
      </c>
      <c r="E730" s="3">
        <v>45069</v>
      </c>
      <c r="F730" s="4" t="s">
        <v>760</v>
      </c>
      <c r="G730" s="4" t="s">
        <v>8</v>
      </c>
      <c r="H730" s="4">
        <v>29</v>
      </c>
      <c r="I730" s="4" t="str" cm="1">
        <f t="array" ref="I730">_xlfn.IFS(H730&lt;30, "Young Adult", H730&lt;50, "Adult", H730&gt;=50, "Senior")</f>
        <v>Young Adult</v>
      </c>
      <c r="J730" s="4" t="s">
        <v>3</v>
      </c>
      <c r="K730" s="4">
        <v>4</v>
      </c>
      <c r="L730" s="16">
        <v>300</v>
      </c>
      <c r="M730" s="16">
        <f xml:space="preserve"> K730 * L730</f>
        <v>1200</v>
      </c>
      <c r="N730" s="16">
        <f>M730 * $Q$3</f>
        <v>18</v>
      </c>
      <c r="O730" s="16">
        <f>M730 * $Q$4</f>
        <v>24</v>
      </c>
    </row>
    <row r="731" spans="1:15">
      <c r="A731" s="2">
        <v>730</v>
      </c>
      <c r="B731" s="4">
        <f>DAY(E731)</f>
        <v>4</v>
      </c>
      <c r="C731" s="4">
        <f>MONTH(E731)</f>
        <v>8</v>
      </c>
      <c r="D731" s="4">
        <f>YEAR(E731)</f>
        <v>2023</v>
      </c>
      <c r="E731" s="3">
        <v>45142</v>
      </c>
      <c r="F731" s="4" t="s">
        <v>761</v>
      </c>
      <c r="G731" s="4" t="s">
        <v>7</v>
      </c>
      <c r="H731" s="4">
        <v>36</v>
      </c>
      <c r="I731" s="4" t="str" cm="1">
        <f t="array" ref="I731">_xlfn.IFS(H731&lt;30, "Young Adult", H731&lt;50, "Adult", H731&gt;=50, "Senior")</f>
        <v>Adult</v>
      </c>
      <c r="J731" s="4" t="s">
        <v>3</v>
      </c>
      <c r="K731" s="4">
        <v>2</v>
      </c>
      <c r="L731" s="16">
        <v>25</v>
      </c>
      <c r="M731" s="16">
        <f xml:space="preserve"> K731 * L731</f>
        <v>50</v>
      </c>
      <c r="N731" s="16">
        <f>M731 * $Q$3</f>
        <v>0.75</v>
      </c>
      <c r="O731" s="16">
        <f>M731 * $Q$4</f>
        <v>1</v>
      </c>
    </row>
    <row r="732" spans="1:15">
      <c r="A732" s="2">
        <v>731</v>
      </c>
      <c r="B732" s="4">
        <f>DAY(E732)</f>
        <v>10</v>
      </c>
      <c r="C732" s="4">
        <f>MONTH(E732)</f>
        <v>5</v>
      </c>
      <c r="D732" s="4">
        <f>YEAR(E732)</f>
        <v>2023</v>
      </c>
      <c r="E732" s="3">
        <v>45056</v>
      </c>
      <c r="F732" s="4" t="s">
        <v>762</v>
      </c>
      <c r="G732" s="4" t="s">
        <v>8</v>
      </c>
      <c r="H732" s="4">
        <v>54</v>
      </c>
      <c r="I732" s="4" t="str" cm="1">
        <f t="array" ref="I732">_xlfn.IFS(H732&lt;30, "Young Adult", H732&lt;50, "Adult", H732&gt;=50, "Senior")</f>
        <v>Senior</v>
      </c>
      <c r="J732" s="4" t="s">
        <v>3</v>
      </c>
      <c r="K732" s="4">
        <v>4</v>
      </c>
      <c r="L732" s="16">
        <v>500</v>
      </c>
      <c r="M732" s="16">
        <f xml:space="preserve"> K732 * L732</f>
        <v>2000</v>
      </c>
      <c r="N732" s="16">
        <f>M732 * $Q$3</f>
        <v>30</v>
      </c>
      <c r="O732" s="16">
        <f>M732 * $Q$4</f>
        <v>40</v>
      </c>
    </row>
    <row r="733" spans="1:15">
      <c r="A733" s="2">
        <v>732</v>
      </c>
      <c r="B733" s="4">
        <f>DAY(E733)</f>
        <v>11</v>
      </c>
      <c r="C733" s="4">
        <f>MONTH(E733)</f>
        <v>2</v>
      </c>
      <c r="D733" s="4">
        <f>YEAR(E733)</f>
        <v>2023</v>
      </c>
      <c r="E733" s="3">
        <v>44968</v>
      </c>
      <c r="F733" s="4" t="s">
        <v>763</v>
      </c>
      <c r="G733" s="4" t="s">
        <v>8</v>
      </c>
      <c r="H733" s="4">
        <v>61</v>
      </c>
      <c r="I733" s="4" t="str" cm="1">
        <f t="array" ref="I733">_xlfn.IFS(H733&lt;30, "Young Adult", H733&lt;50, "Adult", H733&gt;=50, "Senior")</f>
        <v>Senior</v>
      </c>
      <c r="J733" s="4" t="s">
        <v>4</v>
      </c>
      <c r="K733" s="4">
        <v>2</v>
      </c>
      <c r="L733" s="16">
        <v>500</v>
      </c>
      <c r="M733" s="16">
        <f xml:space="preserve"> K733 * L733</f>
        <v>1000</v>
      </c>
      <c r="N733" s="16">
        <f>M733 * $Q$3</f>
        <v>15</v>
      </c>
      <c r="O733" s="16">
        <f>M733 * $Q$4</f>
        <v>20</v>
      </c>
    </row>
    <row r="734" spans="1:15">
      <c r="A734" s="2">
        <v>733</v>
      </c>
      <c r="B734" s="4">
        <f>DAY(E734)</f>
        <v>29</v>
      </c>
      <c r="C734" s="4">
        <f>MONTH(E734)</f>
        <v>8</v>
      </c>
      <c r="D734" s="4">
        <f>YEAR(E734)</f>
        <v>2023</v>
      </c>
      <c r="E734" s="3">
        <v>45167</v>
      </c>
      <c r="F734" s="4" t="s">
        <v>764</v>
      </c>
      <c r="G734" s="4" t="s">
        <v>8</v>
      </c>
      <c r="H734" s="4">
        <v>34</v>
      </c>
      <c r="I734" s="4" t="str" cm="1">
        <f t="array" ref="I734">_xlfn.IFS(H734&lt;30, "Young Adult", H734&lt;50, "Adult", H734&gt;=50, "Senior")</f>
        <v>Adult</v>
      </c>
      <c r="J734" s="4" t="s">
        <v>2</v>
      </c>
      <c r="K734" s="4">
        <v>1</v>
      </c>
      <c r="L734" s="16">
        <v>30</v>
      </c>
      <c r="M734" s="16">
        <f xml:space="preserve"> K734 * L734</f>
        <v>30</v>
      </c>
      <c r="N734" s="16">
        <f>M734 * $Q$3</f>
        <v>0.44999999999999996</v>
      </c>
      <c r="O734" s="16">
        <f>M734 * $Q$4</f>
        <v>0.6</v>
      </c>
    </row>
    <row r="735" spans="1:15">
      <c r="A735" s="2">
        <v>734</v>
      </c>
      <c r="B735" s="4">
        <f>DAY(E735)</f>
        <v>10</v>
      </c>
      <c r="C735" s="4">
        <f>MONTH(E735)</f>
        <v>1</v>
      </c>
      <c r="D735" s="4">
        <f>YEAR(E735)</f>
        <v>2023</v>
      </c>
      <c r="E735" s="3">
        <v>44936</v>
      </c>
      <c r="F735" s="4" t="s">
        <v>765</v>
      </c>
      <c r="G735" s="4" t="s">
        <v>7</v>
      </c>
      <c r="H735" s="4">
        <v>27</v>
      </c>
      <c r="I735" s="4" t="str" cm="1">
        <f t="array" ref="I735">_xlfn.IFS(H735&lt;30, "Young Adult", H735&lt;50, "Adult", H735&gt;=50, "Senior")</f>
        <v>Young Adult</v>
      </c>
      <c r="J735" s="4" t="s">
        <v>3</v>
      </c>
      <c r="K735" s="4">
        <v>1</v>
      </c>
      <c r="L735" s="16">
        <v>30</v>
      </c>
      <c r="M735" s="16">
        <f xml:space="preserve"> K735 * L735</f>
        <v>30</v>
      </c>
      <c r="N735" s="16">
        <f>M735 * $Q$3</f>
        <v>0.44999999999999996</v>
      </c>
      <c r="O735" s="16">
        <f>M735 * $Q$4</f>
        <v>0.6</v>
      </c>
    </row>
    <row r="736" spans="1:15">
      <c r="A736" s="2">
        <v>735</v>
      </c>
      <c r="B736" s="4">
        <f>DAY(E736)</f>
        <v>4</v>
      </c>
      <c r="C736" s="4">
        <f>MONTH(E736)</f>
        <v>10</v>
      </c>
      <c r="D736" s="4">
        <f>YEAR(E736)</f>
        <v>2023</v>
      </c>
      <c r="E736" s="3">
        <v>45203</v>
      </c>
      <c r="F736" s="4" t="s">
        <v>766</v>
      </c>
      <c r="G736" s="4" t="s">
        <v>7</v>
      </c>
      <c r="H736" s="4">
        <v>64</v>
      </c>
      <c r="I736" s="4" t="str" cm="1">
        <f t="array" ref="I736">_xlfn.IFS(H736&lt;30, "Young Adult", H736&lt;50, "Adult", H736&gt;=50, "Senior")</f>
        <v>Senior</v>
      </c>
      <c r="J736" s="4" t="s">
        <v>3</v>
      </c>
      <c r="K736" s="4">
        <v>4</v>
      </c>
      <c r="L736" s="16">
        <v>500</v>
      </c>
      <c r="M736" s="16">
        <f xml:space="preserve"> K736 * L736</f>
        <v>2000</v>
      </c>
      <c r="N736" s="16">
        <f>M736 * $Q$3</f>
        <v>30</v>
      </c>
      <c r="O736" s="16">
        <f>M736 * $Q$4</f>
        <v>40</v>
      </c>
    </row>
    <row r="737" spans="1:15">
      <c r="A737" s="2">
        <v>736</v>
      </c>
      <c r="B737" s="4">
        <f>DAY(E737)</f>
        <v>27</v>
      </c>
      <c r="C737" s="4">
        <f>MONTH(E737)</f>
        <v>1</v>
      </c>
      <c r="D737" s="4">
        <f>YEAR(E737)</f>
        <v>2023</v>
      </c>
      <c r="E737" s="3">
        <v>44953</v>
      </c>
      <c r="F737" s="4" t="s">
        <v>767</v>
      </c>
      <c r="G737" s="4" t="s">
        <v>8</v>
      </c>
      <c r="H737" s="4">
        <v>29</v>
      </c>
      <c r="I737" s="4" t="str" cm="1">
        <f t="array" ref="I737">_xlfn.IFS(H737&lt;30, "Young Adult", H737&lt;50, "Adult", H737&gt;=50, "Senior")</f>
        <v>Young Adult</v>
      </c>
      <c r="J737" s="4" t="s">
        <v>3</v>
      </c>
      <c r="K737" s="4">
        <v>4</v>
      </c>
      <c r="L737" s="16">
        <v>25</v>
      </c>
      <c r="M737" s="16">
        <f xml:space="preserve"> K737 * L737</f>
        <v>100</v>
      </c>
      <c r="N737" s="16">
        <f>M737 * $Q$3</f>
        <v>1.5</v>
      </c>
      <c r="O737" s="16">
        <f>M737 * $Q$4</f>
        <v>2</v>
      </c>
    </row>
    <row r="738" spans="1:15">
      <c r="A738" s="2">
        <v>737</v>
      </c>
      <c r="B738" s="4">
        <f>DAY(E738)</f>
        <v>29</v>
      </c>
      <c r="C738" s="4">
        <f>MONTH(E738)</f>
        <v>6</v>
      </c>
      <c r="D738" s="4">
        <f>YEAR(E738)</f>
        <v>2023</v>
      </c>
      <c r="E738" s="3">
        <v>45106</v>
      </c>
      <c r="F738" s="4" t="s">
        <v>768</v>
      </c>
      <c r="G738" s="4" t="s">
        <v>7</v>
      </c>
      <c r="H738" s="4">
        <v>33</v>
      </c>
      <c r="I738" s="4" t="str" cm="1">
        <f t="array" ref="I738">_xlfn.IFS(H738&lt;30, "Young Adult", H738&lt;50, "Adult", H738&gt;=50, "Senior")</f>
        <v>Adult</v>
      </c>
      <c r="J738" s="4" t="s">
        <v>3</v>
      </c>
      <c r="K738" s="4">
        <v>1</v>
      </c>
      <c r="L738" s="16">
        <v>50</v>
      </c>
      <c r="M738" s="16">
        <f xml:space="preserve"> K738 * L738</f>
        <v>50</v>
      </c>
      <c r="N738" s="16">
        <f>M738 * $Q$3</f>
        <v>0.75</v>
      </c>
      <c r="O738" s="16">
        <f>M738 * $Q$4</f>
        <v>1</v>
      </c>
    </row>
    <row r="739" spans="1:15">
      <c r="A739" s="2">
        <v>738</v>
      </c>
      <c r="B739" s="4">
        <f>DAY(E739)</f>
        <v>25</v>
      </c>
      <c r="C739" s="4">
        <f>MONTH(E739)</f>
        <v>4</v>
      </c>
      <c r="D739" s="4">
        <f>YEAR(E739)</f>
        <v>2023</v>
      </c>
      <c r="E739" s="3">
        <v>45041</v>
      </c>
      <c r="F739" s="4" t="s">
        <v>769</v>
      </c>
      <c r="G739" s="4" t="s">
        <v>8</v>
      </c>
      <c r="H739" s="4">
        <v>41</v>
      </c>
      <c r="I739" s="4" t="str" cm="1">
        <f t="array" ref="I739">_xlfn.IFS(H739&lt;30, "Young Adult", H739&lt;50, "Adult", H739&gt;=50, "Senior")</f>
        <v>Adult</v>
      </c>
      <c r="J739" s="4" t="s">
        <v>3</v>
      </c>
      <c r="K739" s="4">
        <v>2</v>
      </c>
      <c r="L739" s="16">
        <v>50</v>
      </c>
      <c r="M739" s="16">
        <f xml:space="preserve"> K739 * L739</f>
        <v>100</v>
      </c>
      <c r="N739" s="16">
        <f>M739 * $Q$3</f>
        <v>1.5</v>
      </c>
      <c r="O739" s="16">
        <f>M739 * $Q$4</f>
        <v>2</v>
      </c>
    </row>
    <row r="740" spans="1:15">
      <c r="A740" s="2">
        <v>739</v>
      </c>
      <c r="B740" s="4">
        <f>DAY(E740)</f>
        <v>29</v>
      </c>
      <c r="C740" s="4">
        <f>MONTH(E740)</f>
        <v>11</v>
      </c>
      <c r="D740" s="4">
        <f>YEAR(E740)</f>
        <v>2023</v>
      </c>
      <c r="E740" s="3">
        <v>45259</v>
      </c>
      <c r="F740" s="4" t="s">
        <v>770</v>
      </c>
      <c r="G740" s="4" t="s">
        <v>8</v>
      </c>
      <c r="H740" s="4">
        <v>36</v>
      </c>
      <c r="I740" s="4" t="str" cm="1">
        <f t="array" ref="I740">_xlfn.IFS(H740&lt;30, "Young Adult", H740&lt;50, "Adult", H740&gt;=50, "Senior")</f>
        <v>Adult</v>
      </c>
      <c r="J740" s="4" t="s">
        <v>2</v>
      </c>
      <c r="K740" s="4">
        <v>1</v>
      </c>
      <c r="L740" s="16">
        <v>25</v>
      </c>
      <c r="M740" s="16">
        <f xml:space="preserve"> K740 * L740</f>
        <v>25</v>
      </c>
      <c r="N740" s="16">
        <f>M740 * $Q$3</f>
        <v>0.375</v>
      </c>
      <c r="O740" s="16">
        <f>M740 * $Q$4</f>
        <v>0.5</v>
      </c>
    </row>
    <row r="741" spans="1:15">
      <c r="A741" s="2">
        <v>740</v>
      </c>
      <c r="B741" s="4">
        <f>DAY(E741)</f>
        <v>5</v>
      </c>
      <c r="C741" s="4">
        <f>MONTH(E741)</f>
        <v>2</v>
      </c>
      <c r="D741" s="4">
        <f>YEAR(E741)</f>
        <v>2023</v>
      </c>
      <c r="E741" s="3">
        <v>44962</v>
      </c>
      <c r="F741" s="4" t="s">
        <v>771</v>
      </c>
      <c r="G741" s="4" t="s">
        <v>7</v>
      </c>
      <c r="H741" s="4">
        <v>25</v>
      </c>
      <c r="I741" s="4" t="str" cm="1">
        <f t="array" ref="I741">_xlfn.IFS(H741&lt;30, "Young Adult", H741&lt;50, "Adult", H741&gt;=50, "Senior")</f>
        <v>Young Adult</v>
      </c>
      <c r="J741" s="4" t="s">
        <v>2</v>
      </c>
      <c r="K741" s="4">
        <v>4</v>
      </c>
      <c r="L741" s="16">
        <v>50</v>
      </c>
      <c r="M741" s="16">
        <f xml:space="preserve"> K741 * L741</f>
        <v>200</v>
      </c>
      <c r="N741" s="16">
        <f>M741 * $Q$3</f>
        <v>3</v>
      </c>
      <c r="O741" s="16">
        <f>M741 * $Q$4</f>
        <v>4</v>
      </c>
    </row>
    <row r="742" spans="1:15">
      <c r="A742" s="2">
        <v>741</v>
      </c>
      <c r="B742" s="4">
        <f>DAY(E742)</f>
        <v>30</v>
      </c>
      <c r="C742" s="4">
        <f>MONTH(E742)</f>
        <v>11</v>
      </c>
      <c r="D742" s="4">
        <f>YEAR(E742)</f>
        <v>2023</v>
      </c>
      <c r="E742" s="3">
        <v>45260</v>
      </c>
      <c r="F742" s="4" t="s">
        <v>772</v>
      </c>
      <c r="G742" s="4" t="s">
        <v>8</v>
      </c>
      <c r="H742" s="4">
        <v>48</v>
      </c>
      <c r="I742" s="4" t="str" cm="1">
        <f t="array" ref="I742">_xlfn.IFS(H742&lt;30, "Young Adult", H742&lt;50, "Adult", H742&gt;=50, "Senior")</f>
        <v>Adult</v>
      </c>
      <c r="J742" s="4" t="s">
        <v>3</v>
      </c>
      <c r="K742" s="4">
        <v>1</v>
      </c>
      <c r="L742" s="16">
        <v>300</v>
      </c>
      <c r="M742" s="16">
        <f xml:space="preserve"> K742 * L742</f>
        <v>300</v>
      </c>
      <c r="N742" s="16">
        <f>M742 * $Q$3</f>
        <v>4.5</v>
      </c>
      <c r="O742" s="16">
        <f>M742 * $Q$4</f>
        <v>6</v>
      </c>
    </row>
    <row r="743" spans="1:15">
      <c r="A743" s="2">
        <v>742</v>
      </c>
      <c r="B743" s="4">
        <f>DAY(E743)</f>
        <v>21</v>
      </c>
      <c r="C743" s="4">
        <f>MONTH(E743)</f>
        <v>1</v>
      </c>
      <c r="D743" s="4">
        <f>YEAR(E743)</f>
        <v>2023</v>
      </c>
      <c r="E743" s="3">
        <v>44947</v>
      </c>
      <c r="F743" s="4" t="s">
        <v>773</v>
      </c>
      <c r="G743" s="4" t="s">
        <v>7</v>
      </c>
      <c r="H743" s="4">
        <v>38</v>
      </c>
      <c r="I743" s="4" t="str" cm="1">
        <f t="array" ref="I743">_xlfn.IFS(H743&lt;30, "Young Adult", H743&lt;50, "Adult", H743&gt;=50, "Senior")</f>
        <v>Adult</v>
      </c>
      <c r="J743" s="4" t="s">
        <v>4</v>
      </c>
      <c r="K743" s="4">
        <v>4</v>
      </c>
      <c r="L743" s="16">
        <v>500</v>
      </c>
      <c r="M743" s="16">
        <f xml:space="preserve"> K743 * L743</f>
        <v>2000</v>
      </c>
      <c r="N743" s="16">
        <f>M743 * $Q$3</f>
        <v>30</v>
      </c>
      <c r="O743" s="16">
        <f>M743 * $Q$4</f>
        <v>40</v>
      </c>
    </row>
    <row r="744" spans="1:15">
      <c r="A744" s="2">
        <v>743</v>
      </c>
      <c r="B744" s="4">
        <f>DAY(E744)</f>
        <v>16</v>
      </c>
      <c r="C744" s="4">
        <f>MONTH(E744)</f>
        <v>1</v>
      </c>
      <c r="D744" s="4">
        <f>YEAR(E744)</f>
        <v>2023</v>
      </c>
      <c r="E744" s="3">
        <v>44942</v>
      </c>
      <c r="F744" s="4" t="s">
        <v>774</v>
      </c>
      <c r="G744" s="4" t="s">
        <v>7</v>
      </c>
      <c r="H744" s="4">
        <v>34</v>
      </c>
      <c r="I744" s="4" t="str" cm="1">
        <f t="array" ref="I744">_xlfn.IFS(H744&lt;30, "Young Adult", H744&lt;50, "Adult", H744&gt;=50, "Senior")</f>
        <v>Adult</v>
      </c>
      <c r="J744" s="4" t="s">
        <v>2</v>
      </c>
      <c r="K744" s="4">
        <v>4</v>
      </c>
      <c r="L744" s="16">
        <v>500</v>
      </c>
      <c r="M744" s="16">
        <f xml:space="preserve"> K744 * L744</f>
        <v>2000</v>
      </c>
      <c r="N744" s="16">
        <f>M744 * $Q$3</f>
        <v>30</v>
      </c>
      <c r="O744" s="16">
        <f>M744 * $Q$4</f>
        <v>40</v>
      </c>
    </row>
    <row r="745" spans="1:15">
      <c r="A745" s="2">
        <v>744</v>
      </c>
      <c r="B745" s="4">
        <f>DAY(E745)</f>
        <v>7</v>
      </c>
      <c r="C745" s="4">
        <f>MONTH(E745)</f>
        <v>5</v>
      </c>
      <c r="D745" s="4">
        <f>YEAR(E745)</f>
        <v>2023</v>
      </c>
      <c r="E745" s="3">
        <v>45053</v>
      </c>
      <c r="F745" s="4" t="s">
        <v>775</v>
      </c>
      <c r="G745" s="4" t="s">
        <v>8</v>
      </c>
      <c r="H745" s="4">
        <v>40</v>
      </c>
      <c r="I745" s="4" t="str" cm="1">
        <f t="array" ref="I745">_xlfn.IFS(H745&lt;30, "Young Adult", H745&lt;50, "Adult", H745&gt;=50, "Senior")</f>
        <v>Adult</v>
      </c>
      <c r="J745" s="4" t="s">
        <v>4</v>
      </c>
      <c r="K745" s="4">
        <v>1</v>
      </c>
      <c r="L745" s="16">
        <v>25</v>
      </c>
      <c r="M745" s="16">
        <f xml:space="preserve"> K745 * L745</f>
        <v>25</v>
      </c>
      <c r="N745" s="16">
        <f>M745 * $Q$3</f>
        <v>0.375</v>
      </c>
      <c r="O745" s="16">
        <f>M745 * $Q$4</f>
        <v>0.5</v>
      </c>
    </row>
    <row r="746" spans="1:15">
      <c r="A746" s="2">
        <v>745</v>
      </c>
      <c r="B746" s="4">
        <f>DAY(E746)</f>
        <v>13</v>
      </c>
      <c r="C746" s="4">
        <f>MONTH(E746)</f>
        <v>4</v>
      </c>
      <c r="D746" s="4">
        <f>YEAR(E746)</f>
        <v>2023</v>
      </c>
      <c r="E746" s="3">
        <v>45029</v>
      </c>
      <c r="F746" s="4" t="s">
        <v>776</v>
      </c>
      <c r="G746" s="4" t="s">
        <v>8</v>
      </c>
      <c r="H746" s="4">
        <v>54</v>
      </c>
      <c r="I746" s="4" t="str" cm="1">
        <f t="array" ref="I746">_xlfn.IFS(H746&lt;30, "Young Adult", H746&lt;50, "Adult", H746&gt;=50, "Senior")</f>
        <v>Senior</v>
      </c>
      <c r="J746" s="4" t="s">
        <v>2</v>
      </c>
      <c r="K746" s="4">
        <v>2</v>
      </c>
      <c r="L746" s="16">
        <v>50</v>
      </c>
      <c r="M746" s="16">
        <f xml:space="preserve"> K746 * L746</f>
        <v>100</v>
      </c>
      <c r="N746" s="16">
        <f>M746 * $Q$3</f>
        <v>1.5</v>
      </c>
      <c r="O746" s="16">
        <f>M746 * $Q$4</f>
        <v>2</v>
      </c>
    </row>
    <row r="747" spans="1:15">
      <c r="A747" s="2">
        <v>746</v>
      </c>
      <c r="B747" s="4">
        <f>DAY(E747)</f>
        <v>11</v>
      </c>
      <c r="C747" s="4">
        <f>MONTH(E747)</f>
        <v>1</v>
      </c>
      <c r="D747" s="4">
        <f>YEAR(E747)</f>
        <v>2023</v>
      </c>
      <c r="E747" s="3">
        <v>44937</v>
      </c>
      <c r="F747" s="4" t="s">
        <v>777</v>
      </c>
      <c r="G747" s="4" t="s">
        <v>7</v>
      </c>
      <c r="H747" s="4">
        <v>33</v>
      </c>
      <c r="I747" s="4" t="str" cm="1">
        <f t="array" ref="I747">_xlfn.IFS(H747&lt;30, "Young Adult", H747&lt;50, "Adult", H747&gt;=50, "Senior")</f>
        <v>Adult</v>
      </c>
      <c r="J747" s="4" t="s">
        <v>3</v>
      </c>
      <c r="K747" s="4">
        <v>3</v>
      </c>
      <c r="L747" s="16">
        <v>30</v>
      </c>
      <c r="M747" s="16">
        <f xml:space="preserve"> K747 * L747</f>
        <v>90</v>
      </c>
      <c r="N747" s="16">
        <f>M747 * $Q$3</f>
        <v>1.3499999999999999</v>
      </c>
      <c r="O747" s="16">
        <f>M747 * $Q$4</f>
        <v>1.8</v>
      </c>
    </row>
    <row r="748" spans="1:15">
      <c r="A748" s="2">
        <v>747</v>
      </c>
      <c r="B748" s="4">
        <f>DAY(E748)</f>
        <v>15</v>
      </c>
      <c r="C748" s="4">
        <f>MONTH(E748)</f>
        <v>11</v>
      </c>
      <c r="D748" s="4">
        <f>YEAR(E748)</f>
        <v>2023</v>
      </c>
      <c r="E748" s="3">
        <v>45245</v>
      </c>
      <c r="F748" s="4" t="s">
        <v>778</v>
      </c>
      <c r="G748" s="4" t="s">
        <v>8</v>
      </c>
      <c r="H748" s="4">
        <v>23</v>
      </c>
      <c r="I748" s="4" t="str" cm="1">
        <f t="array" ref="I748">_xlfn.IFS(H748&lt;30, "Young Adult", H748&lt;50, "Adult", H748&gt;=50, "Senior")</f>
        <v>Young Adult</v>
      </c>
      <c r="J748" s="4" t="s">
        <v>2</v>
      </c>
      <c r="K748" s="4">
        <v>1</v>
      </c>
      <c r="L748" s="16">
        <v>30</v>
      </c>
      <c r="M748" s="16">
        <f xml:space="preserve"> K748 * L748</f>
        <v>30</v>
      </c>
      <c r="N748" s="16">
        <f>M748 * $Q$3</f>
        <v>0.44999999999999996</v>
      </c>
      <c r="O748" s="16">
        <f>M748 * $Q$4</f>
        <v>0.6</v>
      </c>
    </row>
    <row r="749" spans="1:15">
      <c r="A749" s="2">
        <v>748</v>
      </c>
      <c r="B749" s="4">
        <f>DAY(E749)</f>
        <v>20</v>
      </c>
      <c r="C749" s="4">
        <f>MONTH(E749)</f>
        <v>3</v>
      </c>
      <c r="D749" s="4">
        <f>YEAR(E749)</f>
        <v>2023</v>
      </c>
      <c r="E749" s="3">
        <v>45005</v>
      </c>
      <c r="F749" s="4" t="s">
        <v>779</v>
      </c>
      <c r="G749" s="4" t="s">
        <v>8</v>
      </c>
      <c r="H749" s="4">
        <v>25</v>
      </c>
      <c r="I749" s="4" t="str" cm="1">
        <f t="array" ref="I749">_xlfn.IFS(H749&lt;30, "Young Adult", H749&lt;50, "Adult", H749&gt;=50, "Senior")</f>
        <v>Young Adult</v>
      </c>
      <c r="J749" s="4" t="s">
        <v>3</v>
      </c>
      <c r="K749" s="4">
        <v>3</v>
      </c>
      <c r="L749" s="16">
        <v>50</v>
      </c>
      <c r="M749" s="16">
        <f xml:space="preserve"> K749 * L749</f>
        <v>150</v>
      </c>
      <c r="N749" s="16">
        <f>M749 * $Q$3</f>
        <v>2.25</v>
      </c>
      <c r="O749" s="16">
        <f>M749 * $Q$4</f>
        <v>3</v>
      </c>
    </row>
    <row r="750" spans="1:15">
      <c r="A750" s="2">
        <v>749</v>
      </c>
      <c r="B750" s="4">
        <f>DAY(E750)</f>
        <v>3</v>
      </c>
      <c r="C750" s="4">
        <f>MONTH(E750)</f>
        <v>5</v>
      </c>
      <c r="D750" s="4">
        <f>YEAR(E750)</f>
        <v>2023</v>
      </c>
      <c r="E750" s="3">
        <v>45049</v>
      </c>
      <c r="F750" s="4" t="s">
        <v>780</v>
      </c>
      <c r="G750" s="4" t="s">
        <v>8</v>
      </c>
      <c r="H750" s="4">
        <v>42</v>
      </c>
      <c r="I750" s="4" t="str" cm="1">
        <f t="array" ref="I750">_xlfn.IFS(H750&lt;30, "Young Adult", H750&lt;50, "Adult", H750&gt;=50, "Senior")</f>
        <v>Adult</v>
      </c>
      <c r="J750" s="4" t="s">
        <v>2</v>
      </c>
      <c r="K750" s="4">
        <v>1</v>
      </c>
      <c r="L750" s="16">
        <v>30</v>
      </c>
      <c r="M750" s="16">
        <f xml:space="preserve"> K750 * L750</f>
        <v>30</v>
      </c>
      <c r="N750" s="16">
        <f>M750 * $Q$3</f>
        <v>0.44999999999999996</v>
      </c>
      <c r="O750" s="16">
        <f>M750 * $Q$4</f>
        <v>0.6</v>
      </c>
    </row>
    <row r="751" spans="1:15">
      <c r="A751" s="2">
        <v>750</v>
      </c>
      <c r="B751" s="4">
        <f>DAY(E751)</f>
        <v>6</v>
      </c>
      <c r="C751" s="4">
        <f>MONTH(E751)</f>
        <v>3</v>
      </c>
      <c r="D751" s="4">
        <f>YEAR(E751)</f>
        <v>2023</v>
      </c>
      <c r="E751" s="3">
        <v>44991</v>
      </c>
      <c r="F751" s="4" t="s">
        <v>781</v>
      </c>
      <c r="G751" s="4" t="s">
        <v>7</v>
      </c>
      <c r="H751" s="4">
        <v>35</v>
      </c>
      <c r="I751" s="4" t="str" cm="1">
        <f t="array" ref="I751">_xlfn.IFS(H751&lt;30, "Young Adult", H751&lt;50, "Adult", H751&gt;=50, "Senior")</f>
        <v>Adult</v>
      </c>
      <c r="J751" s="4" t="s">
        <v>3</v>
      </c>
      <c r="K751" s="4">
        <v>3</v>
      </c>
      <c r="L751" s="16">
        <v>25</v>
      </c>
      <c r="M751" s="16">
        <f xml:space="preserve"> K751 * L751</f>
        <v>75</v>
      </c>
      <c r="N751" s="16">
        <f>M751 * $Q$3</f>
        <v>1.125</v>
      </c>
      <c r="O751" s="16">
        <f>M751 * $Q$4</f>
        <v>1.5</v>
      </c>
    </row>
    <row r="752" spans="1:15">
      <c r="A752" s="2">
        <v>751</v>
      </c>
      <c r="B752" s="4">
        <f>DAY(E752)</f>
        <v>31</v>
      </c>
      <c r="C752" s="4">
        <f>MONTH(E752)</f>
        <v>8</v>
      </c>
      <c r="D752" s="4">
        <f>YEAR(E752)</f>
        <v>2023</v>
      </c>
      <c r="E752" s="3">
        <v>45169</v>
      </c>
      <c r="F752" s="4" t="s">
        <v>782</v>
      </c>
      <c r="G752" s="4" t="s">
        <v>7</v>
      </c>
      <c r="H752" s="4">
        <v>42</v>
      </c>
      <c r="I752" s="4" t="str" cm="1">
        <f t="array" ref="I752">_xlfn.IFS(H752&lt;30, "Young Adult", H752&lt;50, "Adult", H752&gt;=50, "Senior")</f>
        <v>Adult</v>
      </c>
      <c r="J752" s="4" t="s">
        <v>3</v>
      </c>
      <c r="K752" s="4">
        <v>2</v>
      </c>
      <c r="L752" s="16">
        <v>25</v>
      </c>
      <c r="M752" s="16">
        <f xml:space="preserve"> K752 * L752</f>
        <v>50</v>
      </c>
      <c r="N752" s="16">
        <f>M752 * $Q$3</f>
        <v>0.75</v>
      </c>
      <c r="O752" s="16">
        <f>M752 * $Q$4</f>
        <v>1</v>
      </c>
    </row>
    <row r="753" spans="1:15">
      <c r="A753" s="2">
        <v>752</v>
      </c>
      <c r="B753" s="4">
        <f>DAY(E753)</f>
        <v>9</v>
      </c>
      <c r="C753" s="4">
        <f>MONTH(E753)</f>
        <v>12</v>
      </c>
      <c r="D753" s="4">
        <f>YEAR(E753)</f>
        <v>2023</v>
      </c>
      <c r="E753" s="3">
        <v>45269</v>
      </c>
      <c r="F753" s="4" t="s">
        <v>783</v>
      </c>
      <c r="G753" s="4" t="s">
        <v>8</v>
      </c>
      <c r="H753" s="4">
        <v>29</v>
      </c>
      <c r="I753" s="4" t="str" cm="1">
        <f t="array" ref="I753">_xlfn.IFS(H753&lt;30, "Young Adult", H753&lt;50, "Adult", H753&gt;=50, "Senior")</f>
        <v>Young Adult</v>
      </c>
      <c r="J753" s="4" t="s">
        <v>3</v>
      </c>
      <c r="K753" s="4">
        <v>2</v>
      </c>
      <c r="L753" s="16">
        <v>50</v>
      </c>
      <c r="M753" s="16">
        <f xml:space="preserve"> K753 * L753</f>
        <v>100</v>
      </c>
      <c r="N753" s="16">
        <f>M753 * $Q$3</f>
        <v>1.5</v>
      </c>
      <c r="O753" s="16">
        <f>M753 * $Q$4</f>
        <v>2</v>
      </c>
    </row>
    <row r="754" spans="1:15">
      <c r="A754" s="2">
        <v>753</v>
      </c>
      <c r="B754" s="4">
        <f>DAY(E754)</f>
        <v>28</v>
      </c>
      <c r="C754" s="4">
        <f>MONTH(E754)</f>
        <v>2</v>
      </c>
      <c r="D754" s="4">
        <f>YEAR(E754)</f>
        <v>2023</v>
      </c>
      <c r="E754" s="3">
        <v>44985</v>
      </c>
      <c r="F754" s="4" t="s">
        <v>784</v>
      </c>
      <c r="G754" s="4" t="s">
        <v>7</v>
      </c>
      <c r="H754" s="4">
        <v>32</v>
      </c>
      <c r="I754" s="4" t="str" cm="1">
        <f t="array" ref="I754">_xlfn.IFS(H754&lt;30, "Young Adult", H754&lt;50, "Adult", H754&gt;=50, "Senior")</f>
        <v>Adult</v>
      </c>
      <c r="J754" s="4" t="s">
        <v>3</v>
      </c>
      <c r="K754" s="4">
        <v>1</v>
      </c>
      <c r="L754" s="16">
        <v>30</v>
      </c>
      <c r="M754" s="16">
        <f xml:space="preserve"> K754 * L754</f>
        <v>30</v>
      </c>
      <c r="N754" s="16">
        <f>M754 * $Q$3</f>
        <v>0.44999999999999996</v>
      </c>
      <c r="O754" s="16">
        <f>M754 * $Q$4</f>
        <v>0.6</v>
      </c>
    </row>
    <row r="755" spans="1:15">
      <c r="A755" s="2">
        <v>754</v>
      </c>
      <c r="B755" s="4">
        <f>DAY(E755)</f>
        <v>16</v>
      </c>
      <c r="C755" s="4">
        <f>MONTH(E755)</f>
        <v>10</v>
      </c>
      <c r="D755" s="4">
        <f>YEAR(E755)</f>
        <v>2023</v>
      </c>
      <c r="E755" s="3">
        <v>45215</v>
      </c>
      <c r="F755" s="4" t="s">
        <v>785</v>
      </c>
      <c r="G755" s="4" t="s">
        <v>7</v>
      </c>
      <c r="H755" s="4">
        <v>43</v>
      </c>
      <c r="I755" s="4" t="str" cm="1">
        <f t="array" ref="I755">_xlfn.IFS(H755&lt;30, "Young Adult", H755&lt;50, "Adult", H755&gt;=50, "Senior")</f>
        <v>Adult</v>
      </c>
      <c r="J755" s="4" t="s">
        <v>4</v>
      </c>
      <c r="K755" s="4">
        <v>4</v>
      </c>
      <c r="L755" s="16">
        <v>25</v>
      </c>
      <c r="M755" s="16">
        <f xml:space="preserve"> K755 * L755</f>
        <v>100</v>
      </c>
      <c r="N755" s="16">
        <f>M755 * $Q$3</f>
        <v>1.5</v>
      </c>
      <c r="O755" s="16">
        <f>M755 * $Q$4</f>
        <v>2</v>
      </c>
    </row>
    <row r="756" spans="1:15">
      <c r="A756" s="2">
        <v>755</v>
      </c>
      <c r="B756" s="4">
        <f>DAY(E756)</f>
        <v>22</v>
      </c>
      <c r="C756" s="4">
        <f>MONTH(E756)</f>
        <v>4</v>
      </c>
      <c r="D756" s="4">
        <f>YEAR(E756)</f>
        <v>2023</v>
      </c>
      <c r="E756" s="3">
        <v>45038</v>
      </c>
      <c r="F756" s="4" t="s">
        <v>786</v>
      </c>
      <c r="G756" s="4" t="s">
        <v>7</v>
      </c>
      <c r="H756" s="4">
        <v>58</v>
      </c>
      <c r="I756" s="4" t="str" cm="1">
        <f t="array" ref="I756">_xlfn.IFS(H756&lt;30, "Young Adult", H756&lt;50, "Adult", H756&gt;=50, "Senior")</f>
        <v>Senior</v>
      </c>
      <c r="J756" s="4" t="s">
        <v>3</v>
      </c>
      <c r="K756" s="4">
        <v>3</v>
      </c>
      <c r="L756" s="16">
        <v>25</v>
      </c>
      <c r="M756" s="16">
        <f xml:space="preserve"> K756 * L756</f>
        <v>75</v>
      </c>
      <c r="N756" s="16">
        <f>M756 * $Q$3</f>
        <v>1.125</v>
      </c>
      <c r="O756" s="16">
        <f>M756 * $Q$4</f>
        <v>1.5</v>
      </c>
    </row>
    <row r="757" spans="1:15">
      <c r="A757" s="2">
        <v>756</v>
      </c>
      <c r="B757" s="4">
        <f>DAY(E757)</f>
        <v>27</v>
      </c>
      <c r="C757" s="4">
        <f>MONTH(E757)</f>
        <v>8</v>
      </c>
      <c r="D757" s="4">
        <f>YEAR(E757)</f>
        <v>2023</v>
      </c>
      <c r="E757" s="3">
        <v>45165</v>
      </c>
      <c r="F757" s="4" t="s">
        <v>787</v>
      </c>
      <c r="G757" s="4" t="s">
        <v>7</v>
      </c>
      <c r="H757" s="4">
        <v>62</v>
      </c>
      <c r="I757" s="4" t="str" cm="1">
        <f t="array" ref="I757">_xlfn.IFS(H757&lt;30, "Young Adult", H757&lt;50, "Adult", H757&gt;=50, "Senior")</f>
        <v>Senior</v>
      </c>
      <c r="J757" s="4" t="s">
        <v>4</v>
      </c>
      <c r="K757" s="4">
        <v>4</v>
      </c>
      <c r="L757" s="16">
        <v>300</v>
      </c>
      <c r="M757" s="16">
        <f xml:space="preserve"> K757 * L757</f>
        <v>1200</v>
      </c>
      <c r="N757" s="16">
        <f>M757 * $Q$3</f>
        <v>18</v>
      </c>
      <c r="O757" s="16">
        <f>M757 * $Q$4</f>
        <v>24</v>
      </c>
    </row>
    <row r="758" spans="1:15">
      <c r="A758" s="2">
        <v>757</v>
      </c>
      <c r="B758" s="4">
        <f>DAY(E758)</f>
        <v>25</v>
      </c>
      <c r="C758" s="4">
        <f>MONTH(E758)</f>
        <v>12</v>
      </c>
      <c r="D758" s="4">
        <f>YEAR(E758)</f>
        <v>2023</v>
      </c>
      <c r="E758" s="3">
        <v>45285</v>
      </c>
      <c r="F758" s="4" t="s">
        <v>788</v>
      </c>
      <c r="G758" s="4" t="s">
        <v>7</v>
      </c>
      <c r="H758" s="4">
        <v>43</v>
      </c>
      <c r="I758" s="4" t="str" cm="1">
        <f t="array" ref="I758">_xlfn.IFS(H758&lt;30, "Young Adult", H758&lt;50, "Adult", H758&gt;=50, "Senior")</f>
        <v>Adult</v>
      </c>
      <c r="J758" s="4" t="s">
        <v>4</v>
      </c>
      <c r="K758" s="4">
        <v>4</v>
      </c>
      <c r="L758" s="16">
        <v>300</v>
      </c>
      <c r="M758" s="16">
        <f xml:space="preserve"> K758 * L758</f>
        <v>1200</v>
      </c>
      <c r="N758" s="16">
        <f>M758 * $Q$3</f>
        <v>18</v>
      </c>
      <c r="O758" s="16">
        <f>M758 * $Q$4</f>
        <v>24</v>
      </c>
    </row>
    <row r="759" spans="1:15">
      <c r="A759" s="2">
        <v>758</v>
      </c>
      <c r="B759" s="4">
        <f>DAY(E759)</f>
        <v>12</v>
      </c>
      <c r="C759" s="4">
        <f>MONTH(E759)</f>
        <v>5</v>
      </c>
      <c r="D759" s="4">
        <f>YEAR(E759)</f>
        <v>2023</v>
      </c>
      <c r="E759" s="3">
        <v>45058</v>
      </c>
      <c r="F759" s="4" t="s">
        <v>789</v>
      </c>
      <c r="G759" s="4" t="s">
        <v>8</v>
      </c>
      <c r="H759" s="4">
        <v>64</v>
      </c>
      <c r="I759" s="4" t="str" cm="1">
        <f t="array" ref="I759">_xlfn.IFS(H759&lt;30, "Young Adult", H759&lt;50, "Adult", H759&gt;=50, "Senior")</f>
        <v>Senior</v>
      </c>
      <c r="J759" s="4" t="s">
        <v>3</v>
      </c>
      <c r="K759" s="4">
        <v>4</v>
      </c>
      <c r="L759" s="16">
        <v>25</v>
      </c>
      <c r="M759" s="16">
        <f xml:space="preserve"> K759 * L759</f>
        <v>100</v>
      </c>
      <c r="N759" s="16">
        <f>M759 * $Q$3</f>
        <v>1.5</v>
      </c>
      <c r="O759" s="16">
        <f>M759 * $Q$4</f>
        <v>2</v>
      </c>
    </row>
    <row r="760" spans="1:15">
      <c r="A760" s="2">
        <v>759</v>
      </c>
      <c r="B760" s="4">
        <f>DAY(E760)</f>
        <v>8</v>
      </c>
      <c r="C760" s="4">
        <f>MONTH(E760)</f>
        <v>7</v>
      </c>
      <c r="D760" s="4">
        <f>YEAR(E760)</f>
        <v>2023</v>
      </c>
      <c r="E760" s="3">
        <v>45115</v>
      </c>
      <c r="F760" s="4" t="s">
        <v>790</v>
      </c>
      <c r="G760" s="4" t="s">
        <v>8</v>
      </c>
      <c r="H760" s="4">
        <v>49</v>
      </c>
      <c r="I760" s="4" t="str" cm="1">
        <f t="array" ref="I760">_xlfn.IFS(H760&lt;30, "Young Adult", H760&lt;50, "Adult", H760&gt;=50, "Senior")</f>
        <v>Adult</v>
      </c>
      <c r="J760" s="4" t="s">
        <v>4</v>
      </c>
      <c r="K760" s="4">
        <v>2</v>
      </c>
      <c r="L760" s="16">
        <v>50</v>
      </c>
      <c r="M760" s="16">
        <f xml:space="preserve"> K760 * L760</f>
        <v>100</v>
      </c>
      <c r="N760" s="16">
        <f>M760 * $Q$3</f>
        <v>1.5</v>
      </c>
      <c r="O760" s="16">
        <f>M760 * $Q$4</f>
        <v>2</v>
      </c>
    </row>
    <row r="761" spans="1:15">
      <c r="A761" s="2">
        <v>760</v>
      </c>
      <c r="B761" s="4">
        <f>DAY(E761)</f>
        <v>27</v>
      </c>
      <c r="C761" s="4">
        <f>MONTH(E761)</f>
        <v>3</v>
      </c>
      <c r="D761" s="4">
        <f>YEAR(E761)</f>
        <v>2023</v>
      </c>
      <c r="E761" s="3">
        <v>45012</v>
      </c>
      <c r="F761" s="4" t="s">
        <v>791</v>
      </c>
      <c r="G761" s="4" t="s">
        <v>8</v>
      </c>
      <c r="H761" s="4">
        <v>27</v>
      </c>
      <c r="I761" s="4" t="str" cm="1">
        <f t="array" ref="I761">_xlfn.IFS(H761&lt;30, "Young Adult", H761&lt;50, "Adult", H761&gt;=50, "Senior")</f>
        <v>Young Adult</v>
      </c>
      <c r="J761" s="4" t="s">
        <v>2</v>
      </c>
      <c r="K761" s="4">
        <v>1</v>
      </c>
      <c r="L761" s="16">
        <v>500</v>
      </c>
      <c r="M761" s="16">
        <f xml:space="preserve"> K761 * L761</f>
        <v>500</v>
      </c>
      <c r="N761" s="16">
        <f>M761 * $Q$3</f>
        <v>7.5</v>
      </c>
      <c r="O761" s="16">
        <f>M761 * $Q$4</f>
        <v>10</v>
      </c>
    </row>
    <row r="762" spans="1:15">
      <c r="A762" s="2">
        <v>761</v>
      </c>
      <c r="B762" s="4">
        <f>DAY(E762)</f>
        <v>7</v>
      </c>
      <c r="C762" s="4">
        <f>MONTH(E762)</f>
        <v>11</v>
      </c>
      <c r="D762" s="4">
        <f>YEAR(E762)</f>
        <v>2023</v>
      </c>
      <c r="E762" s="3">
        <v>45237</v>
      </c>
      <c r="F762" s="4" t="s">
        <v>792</v>
      </c>
      <c r="G762" s="4" t="s">
        <v>7</v>
      </c>
      <c r="H762" s="4">
        <v>33</v>
      </c>
      <c r="I762" s="4" t="str" cm="1">
        <f t="array" ref="I762">_xlfn.IFS(H762&lt;30, "Young Adult", H762&lt;50, "Adult", H762&gt;=50, "Senior")</f>
        <v>Adult</v>
      </c>
      <c r="J762" s="4" t="s">
        <v>3</v>
      </c>
      <c r="K762" s="4">
        <v>1</v>
      </c>
      <c r="L762" s="16">
        <v>500</v>
      </c>
      <c r="M762" s="16">
        <f xml:space="preserve"> K762 * L762</f>
        <v>500</v>
      </c>
      <c r="N762" s="16">
        <f>M762 * $Q$3</f>
        <v>7.5</v>
      </c>
      <c r="O762" s="16">
        <f>M762 * $Q$4</f>
        <v>10</v>
      </c>
    </row>
    <row r="763" spans="1:15">
      <c r="A763" s="2">
        <v>762</v>
      </c>
      <c r="B763" s="4">
        <f>DAY(E763)</f>
        <v>7</v>
      </c>
      <c r="C763" s="4">
        <f>MONTH(E763)</f>
        <v>11</v>
      </c>
      <c r="D763" s="4">
        <f>YEAR(E763)</f>
        <v>2023</v>
      </c>
      <c r="E763" s="3">
        <v>45237</v>
      </c>
      <c r="F763" s="4" t="s">
        <v>793</v>
      </c>
      <c r="G763" s="4" t="s">
        <v>7</v>
      </c>
      <c r="H763" s="4">
        <v>24</v>
      </c>
      <c r="I763" s="4" t="str" cm="1">
        <f t="array" ref="I763">_xlfn.IFS(H763&lt;30, "Young Adult", H763&lt;50, "Adult", H763&gt;=50, "Senior")</f>
        <v>Young Adult</v>
      </c>
      <c r="J763" s="4" t="s">
        <v>4</v>
      </c>
      <c r="K763" s="4">
        <v>2</v>
      </c>
      <c r="L763" s="16">
        <v>25</v>
      </c>
      <c r="M763" s="16">
        <f xml:space="preserve"> K763 * L763</f>
        <v>50</v>
      </c>
      <c r="N763" s="16">
        <f>M763 * $Q$3</f>
        <v>0.75</v>
      </c>
      <c r="O763" s="16">
        <f>M763 * $Q$4</f>
        <v>1</v>
      </c>
    </row>
    <row r="764" spans="1:15">
      <c r="A764" s="2">
        <v>763</v>
      </c>
      <c r="B764" s="4">
        <f>DAY(E764)</f>
        <v>28</v>
      </c>
      <c r="C764" s="4">
        <f>MONTH(E764)</f>
        <v>2</v>
      </c>
      <c r="D764" s="4">
        <f>YEAR(E764)</f>
        <v>2023</v>
      </c>
      <c r="E764" s="3">
        <v>44985</v>
      </c>
      <c r="F764" s="4" t="s">
        <v>794</v>
      </c>
      <c r="G764" s="4" t="s">
        <v>8</v>
      </c>
      <c r="H764" s="4">
        <v>34</v>
      </c>
      <c r="I764" s="4" t="str" cm="1">
        <f t="array" ref="I764">_xlfn.IFS(H764&lt;30, "Young Adult", H764&lt;50, "Adult", H764&gt;=50, "Senior")</f>
        <v>Adult</v>
      </c>
      <c r="J764" s="4" t="s">
        <v>3</v>
      </c>
      <c r="K764" s="4">
        <v>2</v>
      </c>
      <c r="L764" s="16">
        <v>25</v>
      </c>
      <c r="M764" s="16">
        <f xml:space="preserve"> K764 * L764</f>
        <v>50</v>
      </c>
      <c r="N764" s="16">
        <f>M764 * $Q$3</f>
        <v>0.75</v>
      </c>
      <c r="O764" s="16">
        <f>M764 * $Q$4</f>
        <v>1</v>
      </c>
    </row>
    <row r="765" spans="1:15">
      <c r="A765" s="2">
        <v>764</v>
      </c>
      <c r="B765" s="4">
        <f>DAY(E765)</f>
        <v>25</v>
      </c>
      <c r="C765" s="4">
        <f>MONTH(E765)</f>
        <v>3</v>
      </c>
      <c r="D765" s="4">
        <f>YEAR(E765)</f>
        <v>2023</v>
      </c>
      <c r="E765" s="3">
        <v>45010</v>
      </c>
      <c r="F765" s="4" t="s">
        <v>795</v>
      </c>
      <c r="G765" s="4" t="s">
        <v>7</v>
      </c>
      <c r="H765" s="4">
        <v>40</v>
      </c>
      <c r="I765" s="4" t="str" cm="1">
        <f t="array" ref="I765">_xlfn.IFS(H765&lt;30, "Young Adult", H765&lt;50, "Adult", H765&gt;=50, "Senior")</f>
        <v>Adult</v>
      </c>
      <c r="J765" s="4" t="s">
        <v>3</v>
      </c>
      <c r="K765" s="4">
        <v>1</v>
      </c>
      <c r="L765" s="16">
        <v>25</v>
      </c>
      <c r="M765" s="16">
        <f xml:space="preserve"> K765 * L765</f>
        <v>25</v>
      </c>
      <c r="N765" s="16">
        <f>M765 * $Q$3</f>
        <v>0.375</v>
      </c>
      <c r="O765" s="16">
        <f>M765 * $Q$4</f>
        <v>0.5</v>
      </c>
    </row>
    <row r="766" spans="1:15">
      <c r="A766" s="2">
        <v>765</v>
      </c>
      <c r="B766" s="4">
        <f>DAY(E766)</f>
        <v>9</v>
      </c>
      <c r="C766" s="4">
        <f>MONTH(E766)</f>
        <v>6</v>
      </c>
      <c r="D766" s="4">
        <f>YEAR(E766)</f>
        <v>2023</v>
      </c>
      <c r="E766" s="3">
        <v>45086</v>
      </c>
      <c r="F766" s="4" t="s">
        <v>796</v>
      </c>
      <c r="G766" s="4" t="s">
        <v>8</v>
      </c>
      <c r="H766" s="4">
        <v>43</v>
      </c>
      <c r="I766" s="4" t="str" cm="1">
        <f t="array" ref="I766">_xlfn.IFS(H766&lt;30, "Young Adult", H766&lt;50, "Adult", H766&gt;=50, "Senior")</f>
        <v>Adult</v>
      </c>
      <c r="J766" s="4" t="s">
        <v>3</v>
      </c>
      <c r="K766" s="4">
        <v>4</v>
      </c>
      <c r="L766" s="16">
        <v>50</v>
      </c>
      <c r="M766" s="16">
        <f xml:space="preserve"> K766 * L766</f>
        <v>200</v>
      </c>
      <c r="N766" s="16">
        <f>M766 * $Q$3</f>
        <v>3</v>
      </c>
      <c r="O766" s="16">
        <f>M766 * $Q$4</f>
        <v>4</v>
      </c>
    </row>
    <row r="767" spans="1:15">
      <c r="A767" s="2">
        <v>766</v>
      </c>
      <c r="B767" s="4">
        <f>DAY(E767)</f>
        <v>25</v>
      </c>
      <c r="C767" s="4">
        <f>MONTH(E767)</f>
        <v>2</v>
      </c>
      <c r="D767" s="4">
        <f>YEAR(E767)</f>
        <v>2023</v>
      </c>
      <c r="E767" s="3">
        <v>44982</v>
      </c>
      <c r="F767" s="4" t="s">
        <v>797</v>
      </c>
      <c r="G767" s="4" t="s">
        <v>8</v>
      </c>
      <c r="H767" s="4">
        <v>38</v>
      </c>
      <c r="I767" s="4" t="str" cm="1">
        <f t="array" ref="I767">_xlfn.IFS(H767&lt;30, "Young Adult", H767&lt;50, "Adult", H767&gt;=50, "Senior")</f>
        <v>Adult</v>
      </c>
      <c r="J767" s="4" t="s">
        <v>4</v>
      </c>
      <c r="K767" s="4">
        <v>3</v>
      </c>
      <c r="L767" s="16">
        <v>300</v>
      </c>
      <c r="M767" s="16">
        <f xml:space="preserve"> K767 * L767</f>
        <v>900</v>
      </c>
      <c r="N767" s="16">
        <f>M767 * $Q$3</f>
        <v>13.5</v>
      </c>
      <c r="O767" s="16">
        <f>M767 * $Q$4</f>
        <v>18</v>
      </c>
    </row>
    <row r="768" spans="1:15">
      <c r="A768" s="2">
        <v>767</v>
      </c>
      <c r="B768" s="4">
        <f>DAY(E768)</f>
        <v>24</v>
      </c>
      <c r="C768" s="4">
        <f>MONTH(E768)</f>
        <v>10</v>
      </c>
      <c r="D768" s="4">
        <f>YEAR(E768)</f>
        <v>2023</v>
      </c>
      <c r="E768" s="3">
        <v>45223</v>
      </c>
      <c r="F768" s="4" t="s">
        <v>798</v>
      </c>
      <c r="G768" s="4" t="s">
        <v>8</v>
      </c>
      <c r="H768" s="4">
        <v>39</v>
      </c>
      <c r="I768" s="4" t="str" cm="1">
        <f t="array" ref="I768">_xlfn.IFS(H768&lt;30, "Young Adult", H768&lt;50, "Adult", H768&gt;=50, "Senior")</f>
        <v>Adult</v>
      </c>
      <c r="J768" s="4" t="s">
        <v>2</v>
      </c>
      <c r="K768" s="4">
        <v>3</v>
      </c>
      <c r="L768" s="16">
        <v>25</v>
      </c>
      <c r="M768" s="16">
        <f xml:space="preserve"> K768 * L768</f>
        <v>75</v>
      </c>
      <c r="N768" s="16">
        <f>M768 * $Q$3</f>
        <v>1.125</v>
      </c>
      <c r="O768" s="16">
        <f>M768 * $Q$4</f>
        <v>1.5</v>
      </c>
    </row>
    <row r="769" spans="1:15">
      <c r="A769" s="2">
        <v>768</v>
      </c>
      <c r="B769" s="4">
        <f>DAY(E769)</f>
        <v>14</v>
      </c>
      <c r="C769" s="4">
        <f>MONTH(E769)</f>
        <v>1</v>
      </c>
      <c r="D769" s="4">
        <f>YEAR(E769)</f>
        <v>2023</v>
      </c>
      <c r="E769" s="3">
        <v>44940</v>
      </c>
      <c r="F769" s="4" t="s">
        <v>799</v>
      </c>
      <c r="G769" s="4" t="s">
        <v>7</v>
      </c>
      <c r="H769" s="4">
        <v>24</v>
      </c>
      <c r="I769" s="4" t="str" cm="1">
        <f t="array" ref="I769">_xlfn.IFS(H769&lt;30, "Young Adult", H769&lt;50, "Adult", H769&gt;=50, "Senior")</f>
        <v>Young Adult</v>
      </c>
      <c r="J769" s="4" t="s">
        <v>2</v>
      </c>
      <c r="K769" s="4">
        <v>3</v>
      </c>
      <c r="L769" s="16">
        <v>25</v>
      </c>
      <c r="M769" s="16">
        <f xml:space="preserve"> K769 * L769</f>
        <v>75</v>
      </c>
      <c r="N769" s="16">
        <f>M769 * $Q$3</f>
        <v>1.125</v>
      </c>
      <c r="O769" s="16">
        <f>M769 * $Q$4</f>
        <v>1.5</v>
      </c>
    </row>
    <row r="770" spans="1:15">
      <c r="A770" s="2">
        <v>769</v>
      </c>
      <c r="B770" s="4">
        <f>DAY(E770)</f>
        <v>9</v>
      </c>
      <c r="C770" s="4">
        <f>MONTH(E770)</f>
        <v>6</v>
      </c>
      <c r="D770" s="4">
        <f>YEAR(E770)</f>
        <v>2023</v>
      </c>
      <c r="E770" s="3">
        <v>45086</v>
      </c>
      <c r="F770" s="4" t="s">
        <v>800</v>
      </c>
      <c r="G770" s="4" t="s">
        <v>7</v>
      </c>
      <c r="H770" s="4">
        <v>31</v>
      </c>
      <c r="I770" s="4" t="str" cm="1">
        <f t="array" ref="I770">_xlfn.IFS(H770&lt;30, "Young Adult", H770&lt;50, "Adult", H770&gt;=50, "Senior")</f>
        <v>Adult</v>
      </c>
      <c r="J770" s="4" t="s">
        <v>4</v>
      </c>
      <c r="K770" s="4">
        <v>4</v>
      </c>
      <c r="L770" s="16">
        <v>30</v>
      </c>
      <c r="M770" s="16">
        <f xml:space="preserve"> K770 * L770</f>
        <v>120</v>
      </c>
      <c r="N770" s="16">
        <f>M770 * $Q$3</f>
        <v>1.7999999999999998</v>
      </c>
      <c r="O770" s="16">
        <f>M770 * $Q$4</f>
        <v>2.4</v>
      </c>
    </row>
    <row r="771" spans="1:15">
      <c r="A771" s="2">
        <v>770</v>
      </c>
      <c r="B771" s="4">
        <f>DAY(E771)</f>
        <v>22</v>
      </c>
      <c r="C771" s="4">
        <f>MONTH(E771)</f>
        <v>10</v>
      </c>
      <c r="D771" s="4">
        <f>YEAR(E771)</f>
        <v>2023</v>
      </c>
      <c r="E771" s="3">
        <v>45221</v>
      </c>
      <c r="F771" s="4" t="s">
        <v>801</v>
      </c>
      <c r="G771" s="4" t="s">
        <v>8</v>
      </c>
      <c r="H771" s="4">
        <v>32</v>
      </c>
      <c r="I771" s="4" t="str" cm="1">
        <f t="array" ref="I771">_xlfn.IFS(H771&lt;30, "Young Adult", H771&lt;50, "Adult", H771&gt;=50, "Senior")</f>
        <v>Adult</v>
      </c>
      <c r="J771" s="4" t="s">
        <v>3</v>
      </c>
      <c r="K771" s="4">
        <v>1</v>
      </c>
      <c r="L771" s="16">
        <v>50</v>
      </c>
      <c r="M771" s="16">
        <f xml:space="preserve"> K771 * L771</f>
        <v>50</v>
      </c>
      <c r="N771" s="16">
        <f>M771 * $Q$3</f>
        <v>0.75</v>
      </c>
      <c r="O771" s="16">
        <f>M771 * $Q$4</f>
        <v>1</v>
      </c>
    </row>
    <row r="772" spans="1:15">
      <c r="A772" s="2">
        <v>771</v>
      </c>
      <c r="B772" s="4">
        <f>DAY(E772)</f>
        <v>13</v>
      </c>
      <c r="C772" s="4">
        <f>MONTH(E772)</f>
        <v>12</v>
      </c>
      <c r="D772" s="4">
        <f>YEAR(E772)</f>
        <v>2023</v>
      </c>
      <c r="E772" s="3">
        <v>45273</v>
      </c>
      <c r="F772" s="4" t="s">
        <v>802</v>
      </c>
      <c r="G772" s="4" t="s">
        <v>8</v>
      </c>
      <c r="H772" s="4">
        <v>24</v>
      </c>
      <c r="I772" s="4" t="str" cm="1">
        <f t="array" ref="I772">_xlfn.IFS(H772&lt;30, "Young Adult", H772&lt;50, "Adult", H772&gt;=50, "Senior")</f>
        <v>Young Adult</v>
      </c>
      <c r="J772" s="4" t="s">
        <v>4</v>
      </c>
      <c r="K772" s="4">
        <v>2</v>
      </c>
      <c r="L772" s="16">
        <v>25</v>
      </c>
      <c r="M772" s="16">
        <f xml:space="preserve"> K772 * L772</f>
        <v>50</v>
      </c>
      <c r="N772" s="16">
        <f>M772 * $Q$3</f>
        <v>0.75</v>
      </c>
      <c r="O772" s="16">
        <f>M772 * $Q$4</f>
        <v>1</v>
      </c>
    </row>
    <row r="773" spans="1:15">
      <c r="A773" s="2">
        <v>772</v>
      </c>
      <c r="B773" s="4">
        <f>DAY(E773)</f>
        <v>12</v>
      </c>
      <c r="C773" s="4">
        <f>MONTH(E773)</f>
        <v>7</v>
      </c>
      <c r="D773" s="4">
        <f>YEAR(E773)</f>
        <v>2023</v>
      </c>
      <c r="E773" s="3">
        <v>45119</v>
      </c>
      <c r="F773" s="4" t="s">
        <v>803</v>
      </c>
      <c r="G773" s="4" t="s">
        <v>8</v>
      </c>
      <c r="H773" s="4">
        <v>26</v>
      </c>
      <c r="I773" s="4" t="str" cm="1">
        <f t="array" ref="I773">_xlfn.IFS(H773&lt;30, "Young Adult", H773&lt;50, "Adult", H773&gt;=50, "Senior")</f>
        <v>Young Adult</v>
      </c>
      <c r="J773" s="4" t="s">
        <v>4</v>
      </c>
      <c r="K773" s="4">
        <v>1</v>
      </c>
      <c r="L773" s="16">
        <v>30</v>
      </c>
      <c r="M773" s="16">
        <f xml:space="preserve"> K773 * L773</f>
        <v>30</v>
      </c>
      <c r="N773" s="16">
        <f>M773 * $Q$3</f>
        <v>0.44999999999999996</v>
      </c>
      <c r="O773" s="16">
        <f>M773 * $Q$4</f>
        <v>0.6</v>
      </c>
    </row>
    <row r="774" spans="1:15">
      <c r="A774" s="2">
        <v>773</v>
      </c>
      <c r="B774" s="4">
        <f>DAY(E774)</f>
        <v>23</v>
      </c>
      <c r="C774" s="4">
        <f>MONTH(E774)</f>
        <v>7</v>
      </c>
      <c r="D774" s="4">
        <f>YEAR(E774)</f>
        <v>2023</v>
      </c>
      <c r="E774" s="3">
        <v>45130</v>
      </c>
      <c r="F774" s="4" t="s">
        <v>804</v>
      </c>
      <c r="G774" s="4" t="s">
        <v>8</v>
      </c>
      <c r="H774" s="4">
        <v>25</v>
      </c>
      <c r="I774" s="4" t="str" cm="1">
        <f t="array" ref="I774">_xlfn.IFS(H774&lt;30, "Young Adult", H774&lt;50, "Adult", H774&gt;=50, "Senior")</f>
        <v>Young Adult</v>
      </c>
      <c r="J774" s="4" t="s">
        <v>4</v>
      </c>
      <c r="K774" s="4">
        <v>4</v>
      </c>
      <c r="L774" s="16">
        <v>500</v>
      </c>
      <c r="M774" s="16">
        <f xml:space="preserve"> K774 * L774</f>
        <v>2000</v>
      </c>
      <c r="N774" s="16">
        <f>M774 * $Q$3</f>
        <v>30</v>
      </c>
      <c r="O774" s="16">
        <f>M774 * $Q$4</f>
        <v>40</v>
      </c>
    </row>
    <row r="775" spans="1:15">
      <c r="A775" s="2">
        <v>774</v>
      </c>
      <c r="B775" s="4">
        <f>DAY(E775)</f>
        <v>12</v>
      </c>
      <c r="C775" s="4">
        <f>MONTH(E775)</f>
        <v>4</v>
      </c>
      <c r="D775" s="4">
        <f>YEAR(E775)</f>
        <v>2023</v>
      </c>
      <c r="E775" s="3">
        <v>45028</v>
      </c>
      <c r="F775" s="4" t="s">
        <v>805</v>
      </c>
      <c r="G775" s="4" t="s">
        <v>7</v>
      </c>
      <c r="H775" s="4">
        <v>40</v>
      </c>
      <c r="I775" s="4" t="str" cm="1">
        <f t="array" ref="I775">_xlfn.IFS(H775&lt;30, "Young Adult", H775&lt;50, "Adult", H775&gt;=50, "Senior")</f>
        <v>Adult</v>
      </c>
      <c r="J775" s="4" t="s">
        <v>3</v>
      </c>
      <c r="K775" s="4">
        <v>2</v>
      </c>
      <c r="L775" s="16">
        <v>25</v>
      </c>
      <c r="M775" s="16">
        <f xml:space="preserve"> K775 * L775</f>
        <v>50</v>
      </c>
      <c r="N775" s="16">
        <f>M775 * $Q$3</f>
        <v>0.75</v>
      </c>
      <c r="O775" s="16">
        <f>M775 * $Q$4</f>
        <v>1</v>
      </c>
    </row>
    <row r="776" spans="1:15">
      <c r="A776" s="2">
        <v>775</v>
      </c>
      <c r="B776" s="4">
        <f>DAY(E776)</f>
        <v>8</v>
      </c>
      <c r="C776" s="4">
        <f>MONTH(E776)</f>
        <v>2</v>
      </c>
      <c r="D776" s="4">
        <f>YEAR(E776)</f>
        <v>2023</v>
      </c>
      <c r="E776" s="3">
        <v>44965</v>
      </c>
      <c r="F776" s="4" t="s">
        <v>806</v>
      </c>
      <c r="G776" s="4" t="s">
        <v>7</v>
      </c>
      <c r="H776" s="4">
        <v>46</v>
      </c>
      <c r="I776" s="4" t="str" cm="1">
        <f t="array" ref="I776">_xlfn.IFS(H776&lt;30, "Young Adult", H776&lt;50, "Adult", H776&gt;=50, "Senior")</f>
        <v>Adult</v>
      </c>
      <c r="J776" s="4" t="s">
        <v>4</v>
      </c>
      <c r="K776" s="4">
        <v>4</v>
      </c>
      <c r="L776" s="16">
        <v>25</v>
      </c>
      <c r="M776" s="16">
        <f xml:space="preserve"> K776 * L776</f>
        <v>100</v>
      </c>
      <c r="N776" s="16">
        <f>M776 * $Q$3</f>
        <v>1.5</v>
      </c>
      <c r="O776" s="16">
        <f>M776 * $Q$4</f>
        <v>2</v>
      </c>
    </row>
    <row r="777" spans="1:15">
      <c r="A777" s="2">
        <v>776</v>
      </c>
      <c r="B777" s="4">
        <f>DAY(E777)</f>
        <v>31</v>
      </c>
      <c r="C777" s="4">
        <f>MONTH(E777)</f>
        <v>10</v>
      </c>
      <c r="D777" s="4">
        <f>YEAR(E777)</f>
        <v>2023</v>
      </c>
      <c r="E777" s="3">
        <v>45230</v>
      </c>
      <c r="F777" s="4" t="s">
        <v>807</v>
      </c>
      <c r="G777" s="4" t="s">
        <v>8</v>
      </c>
      <c r="H777" s="4">
        <v>35</v>
      </c>
      <c r="I777" s="4" t="str" cm="1">
        <f t="array" ref="I777">_xlfn.IFS(H777&lt;30, "Young Adult", H777&lt;50, "Adult", H777&gt;=50, "Senior")</f>
        <v>Adult</v>
      </c>
      <c r="J777" s="4" t="s">
        <v>3</v>
      </c>
      <c r="K777" s="4">
        <v>3</v>
      </c>
      <c r="L777" s="16">
        <v>30</v>
      </c>
      <c r="M777" s="16">
        <f xml:space="preserve"> K777 * L777</f>
        <v>90</v>
      </c>
      <c r="N777" s="16">
        <f>M777 * $Q$3</f>
        <v>1.3499999999999999</v>
      </c>
      <c r="O777" s="16">
        <f>M777 * $Q$4</f>
        <v>1.8</v>
      </c>
    </row>
    <row r="778" spans="1:15">
      <c r="A778" s="2">
        <v>777</v>
      </c>
      <c r="B778" s="4">
        <f>DAY(E778)</f>
        <v>20</v>
      </c>
      <c r="C778" s="4">
        <f>MONTH(E778)</f>
        <v>12</v>
      </c>
      <c r="D778" s="4">
        <f>YEAR(E778)</f>
        <v>2023</v>
      </c>
      <c r="E778" s="3">
        <v>45280</v>
      </c>
      <c r="F778" s="4" t="s">
        <v>808</v>
      </c>
      <c r="G778" s="4" t="s">
        <v>8</v>
      </c>
      <c r="H778" s="4">
        <v>48</v>
      </c>
      <c r="I778" s="4" t="str" cm="1">
        <f t="array" ref="I778">_xlfn.IFS(H778&lt;30, "Young Adult", H778&lt;50, "Adult", H778&gt;=50, "Senior")</f>
        <v>Adult</v>
      </c>
      <c r="J778" s="4" t="s">
        <v>4</v>
      </c>
      <c r="K778" s="4">
        <v>3</v>
      </c>
      <c r="L778" s="16">
        <v>50</v>
      </c>
      <c r="M778" s="16">
        <f xml:space="preserve"> K778 * L778</f>
        <v>150</v>
      </c>
      <c r="N778" s="16">
        <f>M778 * $Q$3</f>
        <v>2.25</v>
      </c>
      <c r="O778" s="16">
        <f>M778 * $Q$4</f>
        <v>3</v>
      </c>
    </row>
    <row r="779" spans="1:15">
      <c r="A779" s="2">
        <v>778</v>
      </c>
      <c r="B779" s="4">
        <f>DAY(E779)</f>
        <v>18</v>
      </c>
      <c r="C779" s="4">
        <f>MONTH(E779)</f>
        <v>11</v>
      </c>
      <c r="D779" s="4">
        <f>YEAR(E779)</f>
        <v>2023</v>
      </c>
      <c r="E779" s="3">
        <v>45248</v>
      </c>
      <c r="F779" s="4" t="s">
        <v>809</v>
      </c>
      <c r="G779" s="4" t="s">
        <v>7</v>
      </c>
      <c r="H779" s="4">
        <v>47</v>
      </c>
      <c r="I779" s="4" t="str" cm="1">
        <f t="array" ref="I779">_xlfn.IFS(H779&lt;30, "Young Adult", H779&lt;50, "Adult", H779&gt;=50, "Senior")</f>
        <v>Adult</v>
      </c>
      <c r="J779" s="4" t="s">
        <v>2</v>
      </c>
      <c r="K779" s="4">
        <v>4</v>
      </c>
      <c r="L779" s="16">
        <v>25</v>
      </c>
      <c r="M779" s="16">
        <f xml:space="preserve"> K779 * L779</f>
        <v>100</v>
      </c>
      <c r="N779" s="16">
        <f>M779 * $Q$3</f>
        <v>1.5</v>
      </c>
      <c r="O779" s="16">
        <f>M779 * $Q$4</f>
        <v>2</v>
      </c>
    </row>
    <row r="780" spans="1:15">
      <c r="A780" s="2">
        <v>779</v>
      </c>
      <c r="B780" s="4">
        <f>DAY(E780)</f>
        <v>5</v>
      </c>
      <c r="C780" s="4">
        <f>MONTH(E780)</f>
        <v>5</v>
      </c>
      <c r="D780" s="4">
        <f>YEAR(E780)</f>
        <v>2023</v>
      </c>
      <c r="E780" s="3">
        <v>45051</v>
      </c>
      <c r="F780" s="4" t="s">
        <v>810</v>
      </c>
      <c r="G780" s="4" t="s">
        <v>7</v>
      </c>
      <c r="H780" s="4">
        <v>56</v>
      </c>
      <c r="I780" s="4" t="str" cm="1">
        <f t="array" ref="I780">_xlfn.IFS(H780&lt;30, "Young Adult", H780&lt;50, "Adult", H780&gt;=50, "Senior")</f>
        <v>Senior</v>
      </c>
      <c r="J780" s="4" t="s">
        <v>4</v>
      </c>
      <c r="K780" s="4">
        <v>2</v>
      </c>
      <c r="L780" s="16">
        <v>500</v>
      </c>
      <c r="M780" s="16">
        <f xml:space="preserve"> K780 * L780</f>
        <v>1000</v>
      </c>
      <c r="N780" s="16">
        <f>M780 * $Q$3</f>
        <v>15</v>
      </c>
      <c r="O780" s="16">
        <f>M780 * $Q$4</f>
        <v>20</v>
      </c>
    </row>
    <row r="781" spans="1:15">
      <c r="A781" s="2">
        <v>780</v>
      </c>
      <c r="B781" s="4">
        <f>DAY(E781)</f>
        <v>22</v>
      </c>
      <c r="C781" s="4">
        <f>MONTH(E781)</f>
        <v>2</v>
      </c>
      <c r="D781" s="4">
        <f>YEAR(E781)</f>
        <v>2023</v>
      </c>
      <c r="E781" s="3">
        <v>44979</v>
      </c>
      <c r="F781" s="4" t="s">
        <v>811</v>
      </c>
      <c r="G781" s="4" t="s">
        <v>8</v>
      </c>
      <c r="H781" s="4">
        <v>52</v>
      </c>
      <c r="I781" s="4" t="str" cm="1">
        <f t="array" ref="I781">_xlfn.IFS(H781&lt;30, "Young Adult", H781&lt;50, "Adult", H781&gt;=50, "Senior")</f>
        <v>Senior</v>
      </c>
      <c r="J781" s="4" t="s">
        <v>4</v>
      </c>
      <c r="K781" s="4">
        <v>2</v>
      </c>
      <c r="L781" s="16">
        <v>25</v>
      </c>
      <c r="M781" s="16">
        <f xml:space="preserve"> K781 * L781</f>
        <v>50</v>
      </c>
      <c r="N781" s="16">
        <f>M781 * $Q$3</f>
        <v>0.75</v>
      </c>
      <c r="O781" s="16">
        <f>M781 * $Q$4</f>
        <v>1</v>
      </c>
    </row>
    <row r="782" spans="1:15">
      <c r="A782" s="2">
        <v>781</v>
      </c>
      <c r="B782" s="4">
        <f>DAY(E782)</f>
        <v>23</v>
      </c>
      <c r="C782" s="4">
        <f>MONTH(E782)</f>
        <v>12</v>
      </c>
      <c r="D782" s="4">
        <f>YEAR(E782)</f>
        <v>2023</v>
      </c>
      <c r="E782" s="3">
        <v>45283</v>
      </c>
      <c r="F782" s="4" t="s">
        <v>812</v>
      </c>
      <c r="G782" s="4" t="s">
        <v>8</v>
      </c>
      <c r="H782" s="4">
        <v>35</v>
      </c>
      <c r="I782" s="4" t="str" cm="1">
        <f t="array" ref="I782">_xlfn.IFS(H782&lt;30, "Young Adult", H782&lt;50, "Adult", H782&gt;=50, "Senior")</f>
        <v>Adult</v>
      </c>
      <c r="J782" s="4" t="s">
        <v>2</v>
      </c>
      <c r="K782" s="4">
        <v>1</v>
      </c>
      <c r="L782" s="16">
        <v>500</v>
      </c>
      <c r="M782" s="16">
        <f xml:space="preserve"> K782 * L782</f>
        <v>500</v>
      </c>
      <c r="N782" s="16">
        <f>M782 * $Q$3</f>
        <v>7.5</v>
      </c>
      <c r="O782" s="16">
        <f>M782 * $Q$4</f>
        <v>10</v>
      </c>
    </row>
    <row r="783" spans="1:15">
      <c r="A783" s="2">
        <v>782</v>
      </c>
      <c r="B783" s="4">
        <f>DAY(E783)</f>
        <v>4</v>
      </c>
      <c r="C783" s="4">
        <f>MONTH(E783)</f>
        <v>6</v>
      </c>
      <c r="D783" s="4">
        <f>YEAR(E783)</f>
        <v>2023</v>
      </c>
      <c r="E783" s="3">
        <v>45081</v>
      </c>
      <c r="F783" s="4" t="s">
        <v>813</v>
      </c>
      <c r="G783" s="4" t="s">
        <v>8</v>
      </c>
      <c r="H783" s="4">
        <v>59</v>
      </c>
      <c r="I783" s="4" t="str" cm="1">
        <f t="array" ref="I783">_xlfn.IFS(H783&lt;30, "Young Adult", H783&lt;50, "Adult", H783&gt;=50, "Senior")</f>
        <v>Senior</v>
      </c>
      <c r="J783" s="4" t="s">
        <v>3</v>
      </c>
      <c r="K783" s="4">
        <v>3</v>
      </c>
      <c r="L783" s="16">
        <v>300</v>
      </c>
      <c r="M783" s="16">
        <f xml:space="preserve"> K783 * L783</f>
        <v>900</v>
      </c>
      <c r="N783" s="16">
        <f>M783 * $Q$3</f>
        <v>13.5</v>
      </c>
      <c r="O783" s="16">
        <f>M783 * $Q$4</f>
        <v>18</v>
      </c>
    </row>
    <row r="784" spans="1:15">
      <c r="A784" s="2">
        <v>783</v>
      </c>
      <c r="B784" s="4">
        <f>DAY(E784)</f>
        <v>17</v>
      </c>
      <c r="C784" s="4">
        <f>MONTH(E784)</f>
        <v>12</v>
      </c>
      <c r="D784" s="4">
        <f>YEAR(E784)</f>
        <v>2023</v>
      </c>
      <c r="E784" s="3">
        <v>45277</v>
      </c>
      <c r="F784" s="4" t="s">
        <v>814</v>
      </c>
      <c r="G784" s="4" t="s">
        <v>7</v>
      </c>
      <c r="H784" s="4">
        <v>56</v>
      </c>
      <c r="I784" s="4" t="str" cm="1">
        <f t="array" ref="I784">_xlfn.IFS(H784&lt;30, "Young Adult", H784&lt;50, "Adult", H784&gt;=50, "Senior")</f>
        <v>Senior</v>
      </c>
      <c r="J784" s="4" t="s">
        <v>3</v>
      </c>
      <c r="K784" s="4">
        <v>1</v>
      </c>
      <c r="L784" s="16">
        <v>300</v>
      </c>
      <c r="M784" s="16">
        <f xml:space="preserve"> K784 * L784</f>
        <v>300</v>
      </c>
      <c r="N784" s="16">
        <f>M784 * $Q$3</f>
        <v>4.5</v>
      </c>
      <c r="O784" s="16">
        <f>M784 * $Q$4</f>
        <v>6</v>
      </c>
    </row>
    <row r="785" spans="1:15">
      <c r="A785" s="2">
        <v>784</v>
      </c>
      <c r="B785" s="4">
        <f>DAY(E785)</f>
        <v>4</v>
      </c>
      <c r="C785" s="4">
        <f>MONTH(E785)</f>
        <v>11</v>
      </c>
      <c r="D785" s="4">
        <f>YEAR(E785)</f>
        <v>2023</v>
      </c>
      <c r="E785" s="3">
        <v>45234</v>
      </c>
      <c r="F785" s="4" t="s">
        <v>815</v>
      </c>
      <c r="G785" s="4" t="s">
        <v>7</v>
      </c>
      <c r="H785" s="4">
        <v>34</v>
      </c>
      <c r="I785" s="4" t="str" cm="1">
        <f t="array" ref="I785">_xlfn.IFS(H785&lt;30, "Young Adult", H785&lt;50, "Adult", H785&gt;=50, "Senior")</f>
        <v>Adult</v>
      </c>
      <c r="J785" s="4" t="s">
        <v>4</v>
      </c>
      <c r="K785" s="4">
        <v>1</v>
      </c>
      <c r="L785" s="16">
        <v>500</v>
      </c>
      <c r="M785" s="16">
        <f xml:space="preserve"> K785 * L785</f>
        <v>500</v>
      </c>
      <c r="N785" s="16">
        <f>M785 * $Q$3</f>
        <v>7.5</v>
      </c>
      <c r="O785" s="16">
        <f>M785 * $Q$4</f>
        <v>10</v>
      </c>
    </row>
    <row r="786" spans="1:15">
      <c r="A786" s="2">
        <v>785</v>
      </c>
      <c r="B786" s="4">
        <f>DAY(E786)</f>
        <v>3</v>
      </c>
      <c r="C786" s="4">
        <f>MONTH(E786)</f>
        <v>3</v>
      </c>
      <c r="D786" s="4">
        <f>YEAR(E786)</f>
        <v>2023</v>
      </c>
      <c r="E786" s="3">
        <v>44988</v>
      </c>
      <c r="F786" s="4" t="s">
        <v>816</v>
      </c>
      <c r="G786" s="4" t="s">
        <v>7</v>
      </c>
      <c r="H786" s="4">
        <v>31</v>
      </c>
      <c r="I786" s="4" t="str" cm="1">
        <f t="array" ref="I786">_xlfn.IFS(H786&lt;30, "Young Adult", H786&lt;50, "Adult", H786&gt;=50, "Senior")</f>
        <v>Adult</v>
      </c>
      <c r="J786" s="4" t="s">
        <v>2</v>
      </c>
      <c r="K786" s="4">
        <v>4</v>
      </c>
      <c r="L786" s="16">
        <v>50</v>
      </c>
      <c r="M786" s="16">
        <f xml:space="preserve"> K786 * L786</f>
        <v>200</v>
      </c>
      <c r="N786" s="16">
        <f>M786 * $Q$3</f>
        <v>3</v>
      </c>
      <c r="O786" s="16">
        <f>M786 * $Q$4</f>
        <v>4</v>
      </c>
    </row>
    <row r="787" spans="1:15">
      <c r="A787" s="2">
        <v>786</v>
      </c>
      <c r="B787" s="4">
        <f>DAY(E787)</f>
        <v>17</v>
      </c>
      <c r="C787" s="4">
        <f>MONTH(E787)</f>
        <v>10</v>
      </c>
      <c r="D787" s="4">
        <f>YEAR(E787)</f>
        <v>2023</v>
      </c>
      <c r="E787" s="3">
        <v>45216</v>
      </c>
      <c r="F787" s="4" t="s">
        <v>817</v>
      </c>
      <c r="G787" s="4" t="s">
        <v>8</v>
      </c>
      <c r="H787" s="4">
        <v>48</v>
      </c>
      <c r="I787" s="4" t="str" cm="1">
        <f t="array" ref="I787">_xlfn.IFS(H787&lt;30, "Young Adult", H787&lt;50, "Adult", H787&gt;=50, "Senior")</f>
        <v>Adult</v>
      </c>
      <c r="J787" s="4" t="s">
        <v>3</v>
      </c>
      <c r="K787" s="4">
        <v>4</v>
      </c>
      <c r="L787" s="16">
        <v>25</v>
      </c>
      <c r="M787" s="16">
        <f xml:space="preserve"> K787 * L787</f>
        <v>100</v>
      </c>
      <c r="N787" s="16">
        <f>M787 * $Q$3</f>
        <v>1.5</v>
      </c>
      <c r="O787" s="16">
        <f>M787 * $Q$4</f>
        <v>2</v>
      </c>
    </row>
    <row r="788" spans="1:15">
      <c r="A788" s="2">
        <v>787</v>
      </c>
      <c r="B788" s="4">
        <f>DAY(E788)</f>
        <v>22</v>
      </c>
      <c r="C788" s="4">
        <f>MONTH(E788)</f>
        <v>1</v>
      </c>
      <c r="D788" s="4">
        <f>YEAR(E788)</f>
        <v>2023</v>
      </c>
      <c r="E788" s="3">
        <v>44948</v>
      </c>
      <c r="F788" s="4" t="s">
        <v>818</v>
      </c>
      <c r="G788" s="4" t="s">
        <v>8</v>
      </c>
      <c r="H788" s="4">
        <v>41</v>
      </c>
      <c r="I788" s="4" t="str" cm="1">
        <f t="array" ref="I788">_xlfn.IFS(H788&lt;30, "Young Adult", H788&lt;50, "Adult", H788&gt;=50, "Senior")</f>
        <v>Adult</v>
      </c>
      <c r="J788" s="4" t="s">
        <v>4</v>
      </c>
      <c r="K788" s="4">
        <v>1</v>
      </c>
      <c r="L788" s="16">
        <v>25</v>
      </c>
      <c r="M788" s="16">
        <f xml:space="preserve"> K788 * L788</f>
        <v>25</v>
      </c>
      <c r="N788" s="16">
        <f>M788 * $Q$3</f>
        <v>0.375</v>
      </c>
      <c r="O788" s="16">
        <f>M788 * $Q$4</f>
        <v>0.5</v>
      </c>
    </row>
    <row r="789" spans="1:15">
      <c r="A789" s="2">
        <v>788</v>
      </c>
      <c r="B789" s="4">
        <f>DAY(E789)</f>
        <v>27</v>
      </c>
      <c r="C789" s="4">
        <f>MONTH(E789)</f>
        <v>6</v>
      </c>
      <c r="D789" s="4">
        <f>YEAR(E789)</f>
        <v>2023</v>
      </c>
      <c r="E789" s="3">
        <v>45104</v>
      </c>
      <c r="F789" s="4" t="s">
        <v>819</v>
      </c>
      <c r="G789" s="4" t="s">
        <v>7</v>
      </c>
      <c r="H789" s="4">
        <v>52</v>
      </c>
      <c r="I789" s="4" t="str" cm="1">
        <f t="array" ref="I789">_xlfn.IFS(H789&lt;30, "Young Adult", H789&lt;50, "Adult", H789&gt;=50, "Senior")</f>
        <v>Senior</v>
      </c>
      <c r="J789" s="4" t="s">
        <v>2</v>
      </c>
      <c r="K789" s="4">
        <v>3</v>
      </c>
      <c r="L789" s="16">
        <v>300</v>
      </c>
      <c r="M789" s="16">
        <f xml:space="preserve"> K789 * L789</f>
        <v>900</v>
      </c>
      <c r="N789" s="16">
        <f>M789 * $Q$3</f>
        <v>13.5</v>
      </c>
      <c r="O789" s="16">
        <f>M789 * $Q$4</f>
        <v>18</v>
      </c>
    </row>
    <row r="790" spans="1:15">
      <c r="A790" s="2">
        <v>789</v>
      </c>
      <c r="B790" s="4">
        <f>DAY(E790)</f>
        <v>30</v>
      </c>
      <c r="C790" s="4">
        <f>MONTH(E790)</f>
        <v>9</v>
      </c>
      <c r="D790" s="4">
        <f>YEAR(E790)</f>
        <v>2023</v>
      </c>
      <c r="E790" s="3">
        <v>45199</v>
      </c>
      <c r="F790" s="4" t="s">
        <v>820</v>
      </c>
      <c r="G790" s="4" t="s">
        <v>7</v>
      </c>
      <c r="H790" s="4">
        <v>61</v>
      </c>
      <c r="I790" s="4" t="str" cm="1">
        <f t="array" ref="I790">_xlfn.IFS(H790&lt;30, "Young Adult", H790&lt;50, "Adult", H790&gt;=50, "Senior")</f>
        <v>Senior</v>
      </c>
      <c r="J790" s="4" t="s">
        <v>3</v>
      </c>
      <c r="K790" s="4">
        <v>4</v>
      </c>
      <c r="L790" s="16">
        <v>500</v>
      </c>
      <c r="M790" s="16">
        <f xml:space="preserve"> K790 * L790</f>
        <v>2000</v>
      </c>
      <c r="N790" s="16">
        <f>M790 * $Q$3</f>
        <v>30</v>
      </c>
      <c r="O790" s="16">
        <f>M790 * $Q$4</f>
        <v>40</v>
      </c>
    </row>
    <row r="791" spans="1:15">
      <c r="A791" s="2">
        <v>790</v>
      </c>
      <c r="B791" s="4">
        <f>DAY(E791)</f>
        <v>8</v>
      </c>
      <c r="C791" s="4">
        <f>MONTH(E791)</f>
        <v>8</v>
      </c>
      <c r="D791" s="4">
        <f>YEAR(E791)</f>
        <v>2023</v>
      </c>
      <c r="E791" s="3">
        <v>45146</v>
      </c>
      <c r="F791" s="4" t="s">
        <v>821</v>
      </c>
      <c r="G791" s="4" t="s">
        <v>8</v>
      </c>
      <c r="H791" s="4">
        <v>62</v>
      </c>
      <c r="I791" s="4" t="str" cm="1">
        <f t="array" ref="I791">_xlfn.IFS(H791&lt;30, "Young Adult", H791&lt;50, "Adult", H791&gt;=50, "Senior")</f>
        <v>Senior</v>
      </c>
      <c r="J791" s="4" t="s">
        <v>3</v>
      </c>
      <c r="K791" s="4">
        <v>1</v>
      </c>
      <c r="L791" s="16">
        <v>25</v>
      </c>
      <c r="M791" s="16">
        <f xml:space="preserve"> K791 * L791</f>
        <v>25</v>
      </c>
      <c r="N791" s="16">
        <f>M791 * $Q$3</f>
        <v>0.375</v>
      </c>
      <c r="O791" s="16">
        <f>M791 * $Q$4</f>
        <v>0.5</v>
      </c>
    </row>
    <row r="792" spans="1:15">
      <c r="A792" s="2">
        <v>791</v>
      </c>
      <c r="B792" s="4">
        <f>DAY(E792)</f>
        <v>5</v>
      </c>
      <c r="C792" s="4">
        <f>MONTH(E792)</f>
        <v>12</v>
      </c>
      <c r="D792" s="4">
        <f>YEAR(E792)</f>
        <v>2023</v>
      </c>
      <c r="E792" s="3">
        <v>45265</v>
      </c>
      <c r="F792" s="4" t="s">
        <v>822</v>
      </c>
      <c r="G792" s="4" t="s">
        <v>7</v>
      </c>
      <c r="H792" s="4">
        <v>51</v>
      </c>
      <c r="I792" s="4" t="str" cm="1">
        <f t="array" ref="I792">_xlfn.IFS(H792&lt;30, "Young Adult", H792&lt;50, "Adult", H792&gt;=50, "Senior")</f>
        <v>Senior</v>
      </c>
      <c r="J792" s="4" t="s">
        <v>2</v>
      </c>
      <c r="K792" s="4">
        <v>1</v>
      </c>
      <c r="L792" s="16">
        <v>25</v>
      </c>
      <c r="M792" s="16">
        <f xml:space="preserve"> K792 * L792</f>
        <v>25</v>
      </c>
      <c r="N792" s="16">
        <f>M792 * $Q$3</f>
        <v>0.375</v>
      </c>
      <c r="O792" s="16">
        <f>M792 * $Q$4</f>
        <v>0.5</v>
      </c>
    </row>
    <row r="793" spans="1:15">
      <c r="A793" s="2">
        <v>792</v>
      </c>
      <c r="B793" s="4">
        <f>DAY(E793)</f>
        <v>9</v>
      </c>
      <c r="C793" s="4">
        <f>MONTH(E793)</f>
        <v>7</v>
      </c>
      <c r="D793" s="4">
        <f>YEAR(E793)</f>
        <v>2023</v>
      </c>
      <c r="E793" s="3">
        <v>45116</v>
      </c>
      <c r="F793" s="4" t="s">
        <v>823</v>
      </c>
      <c r="G793" s="4" t="s">
        <v>7</v>
      </c>
      <c r="H793" s="4">
        <v>20</v>
      </c>
      <c r="I793" s="4" t="str" cm="1">
        <f t="array" ref="I793">_xlfn.IFS(H793&lt;30, "Young Adult", H793&lt;50, "Adult", H793&gt;=50, "Senior")</f>
        <v>Young Adult</v>
      </c>
      <c r="J793" s="4" t="s">
        <v>2</v>
      </c>
      <c r="K793" s="4">
        <v>1</v>
      </c>
      <c r="L793" s="16">
        <v>50</v>
      </c>
      <c r="M793" s="16">
        <f xml:space="preserve"> K793 * L793</f>
        <v>50</v>
      </c>
      <c r="N793" s="16">
        <f>M793 * $Q$3</f>
        <v>0.75</v>
      </c>
      <c r="O793" s="16">
        <f>M793 * $Q$4</f>
        <v>1</v>
      </c>
    </row>
    <row r="794" spans="1:15">
      <c r="A794" s="2">
        <v>793</v>
      </c>
      <c r="B794" s="4">
        <f>DAY(E794)</f>
        <v>5</v>
      </c>
      <c r="C794" s="4">
        <f>MONTH(E794)</f>
        <v>2</v>
      </c>
      <c r="D794" s="4">
        <f>YEAR(E794)</f>
        <v>2023</v>
      </c>
      <c r="E794" s="3">
        <v>44962</v>
      </c>
      <c r="F794" s="4" t="s">
        <v>824</v>
      </c>
      <c r="G794" s="4" t="s">
        <v>8</v>
      </c>
      <c r="H794" s="4">
        <v>54</v>
      </c>
      <c r="I794" s="4" t="str" cm="1">
        <f t="array" ref="I794">_xlfn.IFS(H794&lt;30, "Young Adult", H794&lt;50, "Adult", H794&gt;=50, "Senior")</f>
        <v>Senior</v>
      </c>
      <c r="J794" s="4" t="s">
        <v>2</v>
      </c>
      <c r="K794" s="4">
        <v>1</v>
      </c>
      <c r="L794" s="16">
        <v>30</v>
      </c>
      <c r="M794" s="16">
        <f xml:space="preserve"> K794 * L794</f>
        <v>30</v>
      </c>
      <c r="N794" s="16">
        <f>M794 * $Q$3</f>
        <v>0.44999999999999996</v>
      </c>
      <c r="O794" s="16">
        <f>M794 * $Q$4</f>
        <v>0.6</v>
      </c>
    </row>
    <row r="795" spans="1:15">
      <c r="A795" s="2">
        <v>794</v>
      </c>
      <c r="B795" s="4">
        <f>DAY(E795)</f>
        <v>17</v>
      </c>
      <c r="C795" s="4">
        <f>MONTH(E795)</f>
        <v>9</v>
      </c>
      <c r="D795" s="4">
        <f>YEAR(E795)</f>
        <v>2023</v>
      </c>
      <c r="E795" s="3">
        <v>45186</v>
      </c>
      <c r="F795" s="4" t="s">
        <v>825</v>
      </c>
      <c r="G795" s="4" t="s">
        <v>7</v>
      </c>
      <c r="H795" s="4">
        <v>60</v>
      </c>
      <c r="I795" s="4" t="str" cm="1">
        <f t="array" ref="I795">_xlfn.IFS(H795&lt;30, "Young Adult", H795&lt;50, "Adult", H795&gt;=50, "Senior")</f>
        <v>Senior</v>
      </c>
      <c r="J795" s="4" t="s">
        <v>2</v>
      </c>
      <c r="K795" s="4">
        <v>1</v>
      </c>
      <c r="L795" s="16">
        <v>300</v>
      </c>
      <c r="M795" s="16">
        <f xml:space="preserve"> K795 * L795</f>
        <v>300</v>
      </c>
      <c r="N795" s="16">
        <f>M795 * $Q$3</f>
        <v>4.5</v>
      </c>
      <c r="O795" s="16">
        <f>M795 * $Q$4</f>
        <v>6</v>
      </c>
    </row>
    <row r="796" spans="1:15">
      <c r="A796" s="2">
        <v>795</v>
      </c>
      <c r="B796" s="4">
        <f>DAY(E796)</f>
        <v>28</v>
      </c>
      <c r="C796" s="4">
        <f>MONTH(E796)</f>
        <v>11</v>
      </c>
      <c r="D796" s="4">
        <f>YEAR(E796)</f>
        <v>2023</v>
      </c>
      <c r="E796" s="3">
        <v>45258</v>
      </c>
      <c r="F796" s="4" t="s">
        <v>826</v>
      </c>
      <c r="G796" s="4" t="s">
        <v>8</v>
      </c>
      <c r="H796" s="4">
        <v>57</v>
      </c>
      <c r="I796" s="4" t="str" cm="1">
        <f t="array" ref="I796">_xlfn.IFS(H796&lt;30, "Young Adult", H796&lt;50, "Adult", H796&gt;=50, "Senior")</f>
        <v>Senior</v>
      </c>
      <c r="J796" s="4" t="s">
        <v>4</v>
      </c>
      <c r="K796" s="4">
        <v>1</v>
      </c>
      <c r="L796" s="16">
        <v>300</v>
      </c>
      <c r="M796" s="16">
        <f xml:space="preserve"> K796 * L796</f>
        <v>300</v>
      </c>
      <c r="N796" s="16">
        <f>M796 * $Q$3</f>
        <v>4.5</v>
      </c>
      <c r="O796" s="16">
        <f>M796 * $Q$4</f>
        <v>6</v>
      </c>
    </row>
    <row r="797" spans="1:15">
      <c r="A797" s="2">
        <v>796</v>
      </c>
      <c r="B797" s="4">
        <f>DAY(E797)</f>
        <v>24</v>
      </c>
      <c r="C797" s="4">
        <f>MONTH(E797)</f>
        <v>6</v>
      </c>
      <c r="D797" s="4">
        <f>YEAR(E797)</f>
        <v>2023</v>
      </c>
      <c r="E797" s="3">
        <v>45101</v>
      </c>
      <c r="F797" s="4" t="s">
        <v>827</v>
      </c>
      <c r="G797" s="4" t="s">
        <v>8</v>
      </c>
      <c r="H797" s="4">
        <v>43</v>
      </c>
      <c r="I797" s="4" t="str" cm="1">
        <f t="array" ref="I797">_xlfn.IFS(H797&lt;30, "Young Adult", H797&lt;50, "Adult", H797&gt;=50, "Senior")</f>
        <v>Adult</v>
      </c>
      <c r="J797" s="4" t="s">
        <v>2</v>
      </c>
      <c r="K797" s="4">
        <v>4</v>
      </c>
      <c r="L797" s="16">
        <v>30</v>
      </c>
      <c r="M797" s="16">
        <f xml:space="preserve"> K797 * L797</f>
        <v>120</v>
      </c>
      <c r="N797" s="16">
        <f>M797 * $Q$3</f>
        <v>1.7999999999999998</v>
      </c>
      <c r="O797" s="16">
        <f>M797 * $Q$4</f>
        <v>2.4</v>
      </c>
    </row>
    <row r="798" spans="1:15">
      <c r="A798" s="2">
        <v>797</v>
      </c>
      <c r="B798" s="4">
        <f>DAY(E798)</f>
        <v>7</v>
      </c>
      <c r="C798" s="4">
        <f>MONTH(E798)</f>
        <v>1</v>
      </c>
      <c r="D798" s="4">
        <f>YEAR(E798)</f>
        <v>2023</v>
      </c>
      <c r="E798" s="3">
        <v>44933</v>
      </c>
      <c r="F798" s="4" t="s">
        <v>828</v>
      </c>
      <c r="G798" s="4" t="s">
        <v>8</v>
      </c>
      <c r="H798" s="4">
        <v>40</v>
      </c>
      <c r="I798" s="4" t="str" cm="1">
        <f t="array" ref="I798">_xlfn.IFS(H798&lt;30, "Young Adult", H798&lt;50, "Adult", H798&gt;=50, "Senior")</f>
        <v>Adult</v>
      </c>
      <c r="J798" s="4" t="s">
        <v>3</v>
      </c>
      <c r="K798" s="4">
        <v>3</v>
      </c>
      <c r="L798" s="16">
        <v>25</v>
      </c>
      <c r="M798" s="16">
        <f xml:space="preserve"> K798 * L798</f>
        <v>75</v>
      </c>
      <c r="N798" s="16">
        <f>M798 * $Q$3</f>
        <v>1.125</v>
      </c>
      <c r="O798" s="16">
        <f>M798 * $Q$4</f>
        <v>1.5</v>
      </c>
    </row>
    <row r="799" spans="1:15">
      <c r="A799" s="2">
        <v>798</v>
      </c>
      <c r="B799" s="4">
        <f>DAY(E799)</f>
        <v>4</v>
      </c>
      <c r="C799" s="4">
        <f>MONTH(E799)</f>
        <v>8</v>
      </c>
      <c r="D799" s="4">
        <f>YEAR(E799)</f>
        <v>2023</v>
      </c>
      <c r="E799" s="3">
        <v>45142</v>
      </c>
      <c r="F799" s="4" t="s">
        <v>829</v>
      </c>
      <c r="G799" s="4" t="s">
        <v>8</v>
      </c>
      <c r="H799" s="4">
        <v>61</v>
      </c>
      <c r="I799" s="4" t="str" cm="1">
        <f t="array" ref="I799">_xlfn.IFS(H799&lt;30, "Young Adult", H799&lt;50, "Adult", H799&gt;=50, "Senior")</f>
        <v>Senior</v>
      </c>
      <c r="J799" s="4" t="s">
        <v>3</v>
      </c>
      <c r="K799" s="4">
        <v>1</v>
      </c>
      <c r="L799" s="16">
        <v>50</v>
      </c>
      <c r="M799" s="16">
        <f xml:space="preserve"> K799 * L799</f>
        <v>50</v>
      </c>
      <c r="N799" s="16">
        <f>M799 * $Q$3</f>
        <v>0.75</v>
      </c>
      <c r="O799" s="16">
        <f>M799 * $Q$4</f>
        <v>1</v>
      </c>
    </row>
    <row r="800" spans="1:15">
      <c r="A800" s="2">
        <v>799</v>
      </c>
      <c r="B800" s="4">
        <f>DAY(E800)</f>
        <v>8</v>
      </c>
      <c r="C800" s="4">
        <f>MONTH(E800)</f>
        <v>9</v>
      </c>
      <c r="D800" s="4">
        <f>YEAR(E800)</f>
        <v>2023</v>
      </c>
      <c r="E800" s="3">
        <v>45177</v>
      </c>
      <c r="F800" s="4" t="s">
        <v>830</v>
      </c>
      <c r="G800" s="4" t="s">
        <v>8</v>
      </c>
      <c r="H800" s="4">
        <v>56</v>
      </c>
      <c r="I800" s="4" t="str" cm="1">
        <f t="array" ref="I800">_xlfn.IFS(H800&lt;30, "Young Adult", H800&lt;50, "Adult", H800&gt;=50, "Senior")</f>
        <v>Senior</v>
      </c>
      <c r="J800" s="4" t="s">
        <v>4</v>
      </c>
      <c r="K800" s="4">
        <v>2</v>
      </c>
      <c r="L800" s="16">
        <v>50</v>
      </c>
      <c r="M800" s="16">
        <f xml:space="preserve"> K800 * L800</f>
        <v>100</v>
      </c>
      <c r="N800" s="16">
        <f>M800 * $Q$3</f>
        <v>1.5</v>
      </c>
      <c r="O800" s="16">
        <f>M800 * $Q$4</f>
        <v>2</v>
      </c>
    </row>
    <row r="801" spans="1:15">
      <c r="A801" s="2">
        <v>800</v>
      </c>
      <c r="B801" s="4">
        <f>DAY(E801)</f>
        <v>24</v>
      </c>
      <c r="C801" s="4">
        <f>MONTH(E801)</f>
        <v>2</v>
      </c>
      <c r="D801" s="4">
        <f>YEAR(E801)</f>
        <v>2023</v>
      </c>
      <c r="E801" s="3">
        <v>44981</v>
      </c>
      <c r="F801" s="4" t="s">
        <v>831</v>
      </c>
      <c r="G801" s="4" t="s">
        <v>8</v>
      </c>
      <c r="H801" s="4">
        <v>32</v>
      </c>
      <c r="I801" s="4" t="str" cm="1">
        <f t="array" ref="I801">_xlfn.IFS(H801&lt;30, "Young Adult", H801&lt;50, "Adult", H801&gt;=50, "Senior")</f>
        <v>Adult</v>
      </c>
      <c r="J801" s="4" t="s">
        <v>3</v>
      </c>
      <c r="K801" s="4">
        <v>4</v>
      </c>
      <c r="L801" s="16">
        <v>300</v>
      </c>
      <c r="M801" s="16">
        <f xml:space="preserve"> K801 * L801</f>
        <v>1200</v>
      </c>
      <c r="N801" s="16">
        <f>M801 * $Q$3</f>
        <v>18</v>
      </c>
      <c r="O801" s="16">
        <f>M801 * $Q$4</f>
        <v>24</v>
      </c>
    </row>
    <row r="802" spans="1:15">
      <c r="A802" s="2">
        <v>801</v>
      </c>
      <c r="B802" s="4">
        <f>DAY(E802)</f>
        <v>10</v>
      </c>
      <c r="C802" s="4">
        <f>MONTH(E802)</f>
        <v>8</v>
      </c>
      <c r="D802" s="4">
        <f>YEAR(E802)</f>
        <v>2023</v>
      </c>
      <c r="E802" s="3">
        <v>45148</v>
      </c>
      <c r="F802" s="4" t="s">
        <v>832</v>
      </c>
      <c r="G802" s="4" t="s">
        <v>8</v>
      </c>
      <c r="H802" s="4">
        <v>21</v>
      </c>
      <c r="I802" s="4" t="str" cm="1">
        <f t="array" ref="I802">_xlfn.IFS(H802&lt;30, "Young Adult", H802&lt;50, "Adult", H802&gt;=50, "Senior")</f>
        <v>Young Adult</v>
      </c>
      <c r="J802" s="4" t="s">
        <v>3</v>
      </c>
      <c r="K802" s="4">
        <v>4</v>
      </c>
      <c r="L802" s="16">
        <v>50</v>
      </c>
      <c r="M802" s="16">
        <f xml:space="preserve"> K802 * L802</f>
        <v>200</v>
      </c>
      <c r="N802" s="16">
        <f>M802 * $Q$3</f>
        <v>3</v>
      </c>
      <c r="O802" s="16">
        <f>M802 * $Q$4</f>
        <v>4</v>
      </c>
    </row>
    <row r="803" spans="1:15">
      <c r="A803" s="2">
        <v>802</v>
      </c>
      <c r="B803" s="4">
        <f>DAY(E803)</f>
        <v>5</v>
      </c>
      <c r="C803" s="4">
        <f>MONTH(E803)</f>
        <v>7</v>
      </c>
      <c r="D803" s="4">
        <f>YEAR(E803)</f>
        <v>2023</v>
      </c>
      <c r="E803" s="3">
        <v>45112</v>
      </c>
      <c r="F803" s="4" t="s">
        <v>833</v>
      </c>
      <c r="G803" s="4" t="s">
        <v>7</v>
      </c>
      <c r="H803" s="4">
        <v>46</v>
      </c>
      <c r="I803" s="4" t="str" cm="1">
        <f t="array" ref="I803">_xlfn.IFS(H803&lt;30, "Young Adult", H803&lt;50, "Adult", H803&gt;=50, "Senior")</f>
        <v>Adult</v>
      </c>
      <c r="J803" s="4" t="s">
        <v>2</v>
      </c>
      <c r="K803" s="4">
        <v>1</v>
      </c>
      <c r="L803" s="16">
        <v>30</v>
      </c>
      <c r="M803" s="16">
        <f xml:space="preserve"> K803 * L803</f>
        <v>30</v>
      </c>
      <c r="N803" s="16">
        <f>M803 * $Q$3</f>
        <v>0.44999999999999996</v>
      </c>
      <c r="O803" s="16">
        <f>M803 * $Q$4</f>
        <v>0.6</v>
      </c>
    </row>
    <row r="804" spans="1:15">
      <c r="A804" s="2">
        <v>803</v>
      </c>
      <c r="B804" s="4">
        <f>DAY(E804)</f>
        <v>22</v>
      </c>
      <c r="C804" s="4">
        <f>MONTH(E804)</f>
        <v>11</v>
      </c>
      <c r="D804" s="4">
        <f>YEAR(E804)</f>
        <v>2023</v>
      </c>
      <c r="E804" s="3">
        <v>45252</v>
      </c>
      <c r="F804" s="4" t="s">
        <v>834</v>
      </c>
      <c r="G804" s="4" t="s">
        <v>8</v>
      </c>
      <c r="H804" s="4">
        <v>39</v>
      </c>
      <c r="I804" s="4" t="str" cm="1">
        <f t="array" ref="I804">_xlfn.IFS(H804&lt;30, "Young Adult", H804&lt;50, "Adult", H804&gt;=50, "Senior")</f>
        <v>Adult</v>
      </c>
      <c r="J804" s="4" t="s">
        <v>3</v>
      </c>
      <c r="K804" s="4">
        <v>4</v>
      </c>
      <c r="L804" s="16">
        <v>25</v>
      </c>
      <c r="M804" s="16">
        <f xml:space="preserve"> K804 * L804</f>
        <v>100</v>
      </c>
      <c r="N804" s="16">
        <f>M804 * $Q$3</f>
        <v>1.5</v>
      </c>
      <c r="O804" s="16">
        <f>M804 * $Q$4</f>
        <v>2</v>
      </c>
    </row>
    <row r="805" spans="1:15">
      <c r="A805" s="2">
        <v>804</v>
      </c>
      <c r="B805" s="4">
        <f>DAY(E805)</f>
        <v>24</v>
      </c>
      <c r="C805" s="4">
        <f>MONTH(E805)</f>
        <v>8</v>
      </c>
      <c r="D805" s="4">
        <f>YEAR(E805)</f>
        <v>2023</v>
      </c>
      <c r="E805" s="3">
        <v>45162</v>
      </c>
      <c r="F805" s="4" t="s">
        <v>835</v>
      </c>
      <c r="G805" s="4" t="s">
        <v>8</v>
      </c>
      <c r="H805" s="4">
        <v>42</v>
      </c>
      <c r="I805" s="4" t="str" cm="1">
        <f t="array" ref="I805">_xlfn.IFS(H805&lt;30, "Young Adult", H805&lt;50, "Adult", H805&gt;=50, "Senior")</f>
        <v>Adult</v>
      </c>
      <c r="J805" s="4" t="s">
        <v>4</v>
      </c>
      <c r="K805" s="4">
        <v>1</v>
      </c>
      <c r="L805" s="16">
        <v>30</v>
      </c>
      <c r="M805" s="16">
        <f xml:space="preserve"> K805 * L805</f>
        <v>30</v>
      </c>
      <c r="N805" s="16">
        <f>M805 * $Q$3</f>
        <v>0.44999999999999996</v>
      </c>
      <c r="O805" s="16">
        <f>M805 * $Q$4</f>
        <v>0.6</v>
      </c>
    </row>
    <row r="806" spans="1:15">
      <c r="A806" s="2">
        <v>805</v>
      </c>
      <c r="B806" s="4">
        <f>DAY(E806)</f>
        <v>29</v>
      </c>
      <c r="C806" s="4">
        <f>MONTH(E806)</f>
        <v>12</v>
      </c>
      <c r="D806" s="4">
        <f>YEAR(E806)</f>
        <v>2023</v>
      </c>
      <c r="E806" s="3">
        <v>45289</v>
      </c>
      <c r="F806" s="4" t="s">
        <v>836</v>
      </c>
      <c r="G806" s="4" t="s">
        <v>7</v>
      </c>
      <c r="H806" s="4">
        <v>30</v>
      </c>
      <c r="I806" s="4" t="str" cm="1">
        <f t="array" ref="I806">_xlfn.IFS(H806&lt;30, "Young Adult", H806&lt;50, "Adult", H806&gt;=50, "Senior")</f>
        <v>Adult</v>
      </c>
      <c r="J806" s="4" t="s">
        <v>2</v>
      </c>
      <c r="K806" s="4">
        <v>3</v>
      </c>
      <c r="L806" s="16">
        <v>500</v>
      </c>
      <c r="M806" s="16">
        <f xml:space="preserve"> K806 * L806</f>
        <v>1500</v>
      </c>
      <c r="N806" s="16">
        <f>M806 * $Q$3</f>
        <v>22.5</v>
      </c>
      <c r="O806" s="16">
        <f>M806 * $Q$4</f>
        <v>30</v>
      </c>
    </row>
    <row r="807" spans="1:15">
      <c r="A807" s="2">
        <v>806</v>
      </c>
      <c r="B807" s="4">
        <f>DAY(E807)</f>
        <v>20</v>
      </c>
      <c r="C807" s="4">
        <f>MONTH(E807)</f>
        <v>3</v>
      </c>
      <c r="D807" s="4">
        <f>YEAR(E807)</f>
        <v>2023</v>
      </c>
      <c r="E807" s="3">
        <v>45005</v>
      </c>
      <c r="F807" s="4" t="s">
        <v>837</v>
      </c>
      <c r="G807" s="4" t="s">
        <v>7</v>
      </c>
      <c r="H807" s="4">
        <v>35</v>
      </c>
      <c r="I807" s="4" t="str" cm="1">
        <f t="array" ref="I807">_xlfn.IFS(H807&lt;30, "Young Adult", H807&lt;50, "Adult", H807&gt;=50, "Senior")</f>
        <v>Adult</v>
      </c>
      <c r="J807" s="4" t="s">
        <v>2</v>
      </c>
      <c r="K807" s="4">
        <v>3</v>
      </c>
      <c r="L807" s="16">
        <v>300</v>
      </c>
      <c r="M807" s="16">
        <f xml:space="preserve"> K807 * L807</f>
        <v>900</v>
      </c>
      <c r="N807" s="16">
        <f>M807 * $Q$3</f>
        <v>13.5</v>
      </c>
      <c r="O807" s="16">
        <f>M807 * $Q$4</f>
        <v>18</v>
      </c>
    </row>
    <row r="808" spans="1:15">
      <c r="A808" s="2">
        <v>807</v>
      </c>
      <c r="B808" s="4">
        <f>DAY(E808)</f>
        <v>11</v>
      </c>
      <c r="C808" s="4">
        <f>MONTH(E808)</f>
        <v>8</v>
      </c>
      <c r="D808" s="4">
        <f>YEAR(E808)</f>
        <v>2023</v>
      </c>
      <c r="E808" s="3">
        <v>45149</v>
      </c>
      <c r="F808" s="4" t="s">
        <v>838</v>
      </c>
      <c r="G808" s="4" t="s">
        <v>7</v>
      </c>
      <c r="H808" s="4">
        <v>50</v>
      </c>
      <c r="I808" s="4" t="str" cm="1">
        <f t="array" ref="I808">_xlfn.IFS(H808&lt;30, "Young Adult", H808&lt;50, "Adult", H808&gt;=50, "Senior")</f>
        <v>Senior</v>
      </c>
      <c r="J808" s="4" t="s">
        <v>4</v>
      </c>
      <c r="K808" s="4">
        <v>4</v>
      </c>
      <c r="L808" s="16">
        <v>50</v>
      </c>
      <c r="M808" s="16">
        <f xml:space="preserve"> K808 * L808</f>
        <v>200</v>
      </c>
      <c r="N808" s="16">
        <f>M808 * $Q$3</f>
        <v>3</v>
      </c>
      <c r="O808" s="16">
        <f>M808 * $Q$4</f>
        <v>4</v>
      </c>
    </row>
    <row r="809" spans="1:15">
      <c r="A809" s="2">
        <v>808</v>
      </c>
      <c r="B809" s="4">
        <f>DAY(E809)</f>
        <v>1</v>
      </c>
      <c r="C809" s="4">
        <f>MONTH(E809)</f>
        <v>4</v>
      </c>
      <c r="D809" s="4">
        <f>YEAR(E809)</f>
        <v>2023</v>
      </c>
      <c r="E809" s="3">
        <v>45017</v>
      </c>
      <c r="F809" s="4" t="s">
        <v>839</v>
      </c>
      <c r="G809" s="4" t="s">
        <v>8</v>
      </c>
      <c r="H809" s="4">
        <v>33</v>
      </c>
      <c r="I809" s="4" t="str" cm="1">
        <f t="array" ref="I809">_xlfn.IFS(H809&lt;30, "Young Adult", H809&lt;50, "Adult", H809&gt;=50, "Senior")</f>
        <v>Adult</v>
      </c>
      <c r="J809" s="4" t="s">
        <v>2</v>
      </c>
      <c r="K809" s="4">
        <v>4</v>
      </c>
      <c r="L809" s="16">
        <v>500</v>
      </c>
      <c r="M809" s="16">
        <f xml:space="preserve"> K809 * L809</f>
        <v>2000</v>
      </c>
      <c r="N809" s="16">
        <f>M809 * $Q$3</f>
        <v>30</v>
      </c>
      <c r="O809" s="16">
        <f>M809 * $Q$4</f>
        <v>40</v>
      </c>
    </row>
    <row r="810" spans="1:15">
      <c r="A810" s="2">
        <v>809</v>
      </c>
      <c r="B810" s="4">
        <f>DAY(E810)</f>
        <v>25</v>
      </c>
      <c r="C810" s="4">
        <f>MONTH(E810)</f>
        <v>9</v>
      </c>
      <c r="D810" s="4">
        <f>YEAR(E810)</f>
        <v>2023</v>
      </c>
      <c r="E810" s="3">
        <v>45194</v>
      </c>
      <c r="F810" s="4" t="s">
        <v>840</v>
      </c>
      <c r="G810" s="4" t="s">
        <v>7</v>
      </c>
      <c r="H810" s="4">
        <v>62</v>
      </c>
      <c r="I810" s="4" t="str" cm="1">
        <f t="array" ref="I810">_xlfn.IFS(H810&lt;30, "Young Adult", H810&lt;50, "Adult", H810&gt;=50, "Senior")</f>
        <v>Senior</v>
      </c>
      <c r="J810" s="4" t="s">
        <v>2</v>
      </c>
      <c r="K810" s="4">
        <v>2</v>
      </c>
      <c r="L810" s="16">
        <v>50</v>
      </c>
      <c r="M810" s="16">
        <f xml:space="preserve"> K810 * L810</f>
        <v>100</v>
      </c>
      <c r="N810" s="16">
        <f>M810 * $Q$3</f>
        <v>1.5</v>
      </c>
      <c r="O810" s="16">
        <f>M810 * $Q$4</f>
        <v>2</v>
      </c>
    </row>
    <row r="811" spans="1:15">
      <c r="A811" s="2">
        <v>810</v>
      </c>
      <c r="B811" s="4">
        <f>DAY(E811)</f>
        <v>30</v>
      </c>
      <c r="C811" s="4">
        <f>MONTH(E811)</f>
        <v>11</v>
      </c>
      <c r="D811" s="4">
        <f>YEAR(E811)</f>
        <v>2023</v>
      </c>
      <c r="E811" s="3">
        <v>45260</v>
      </c>
      <c r="F811" s="4" t="s">
        <v>841</v>
      </c>
      <c r="G811" s="4" t="s">
        <v>8</v>
      </c>
      <c r="H811" s="4">
        <v>59</v>
      </c>
      <c r="I811" s="4" t="str" cm="1">
        <f t="array" ref="I811">_xlfn.IFS(H811&lt;30, "Young Adult", H811&lt;50, "Adult", H811&gt;=50, "Senior")</f>
        <v>Senior</v>
      </c>
      <c r="J811" s="4" t="s">
        <v>4</v>
      </c>
      <c r="K811" s="4">
        <v>4</v>
      </c>
      <c r="L811" s="16">
        <v>25</v>
      </c>
      <c r="M811" s="16">
        <f xml:space="preserve"> K811 * L811</f>
        <v>100</v>
      </c>
      <c r="N811" s="16">
        <f>M811 * $Q$3</f>
        <v>1.5</v>
      </c>
      <c r="O811" s="16">
        <f>M811 * $Q$4</f>
        <v>2</v>
      </c>
    </row>
    <row r="812" spans="1:15">
      <c r="A812" s="2">
        <v>811</v>
      </c>
      <c r="B812" s="4">
        <f>DAY(E812)</f>
        <v>19</v>
      </c>
      <c r="C812" s="4">
        <f>MONTH(E812)</f>
        <v>5</v>
      </c>
      <c r="D812" s="4">
        <f>YEAR(E812)</f>
        <v>2023</v>
      </c>
      <c r="E812" s="3">
        <v>45065</v>
      </c>
      <c r="F812" s="4" t="s">
        <v>842</v>
      </c>
      <c r="G812" s="4" t="s">
        <v>8</v>
      </c>
      <c r="H812" s="4">
        <v>61</v>
      </c>
      <c r="I812" s="4" t="str" cm="1">
        <f t="array" ref="I812">_xlfn.IFS(H812&lt;30, "Young Adult", H812&lt;50, "Adult", H812&gt;=50, "Senior")</f>
        <v>Senior</v>
      </c>
      <c r="J812" s="4" t="s">
        <v>2</v>
      </c>
      <c r="K812" s="4">
        <v>2</v>
      </c>
      <c r="L812" s="16">
        <v>25</v>
      </c>
      <c r="M812" s="16">
        <f xml:space="preserve"> K812 * L812</f>
        <v>50</v>
      </c>
      <c r="N812" s="16">
        <f>M812 * $Q$3</f>
        <v>0.75</v>
      </c>
      <c r="O812" s="16">
        <f>M812 * $Q$4</f>
        <v>1</v>
      </c>
    </row>
    <row r="813" spans="1:15">
      <c r="A813" s="2">
        <v>812</v>
      </c>
      <c r="B813" s="4">
        <f>DAY(E813)</f>
        <v>12</v>
      </c>
      <c r="C813" s="4">
        <f>MONTH(E813)</f>
        <v>11</v>
      </c>
      <c r="D813" s="4">
        <f>YEAR(E813)</f>
        <v>2023</v>
      </c>
      <c r="E813" s="3">
        <v>45242</v>
      </c>
      <c r="F813" s="4" t="s">
        <v>843</v>
      </c>
      <c r="G813" s="4" t="s">
        <v>8</v>
      </c>
      <c r="H813" s="4">
        <v>19</v>
      </c>
      <c r="I813" s="4" t="str" cm="1">
        <f t="array" ref="I813">_xlfn.IFS(H813&lt;30, "Young Adult", H813&lt;50, "Adult", H813&gt;=50, "Senior")</f>
        <v>Young Adult</v>
      </c>
      <c r="J813" s="4" t="s">
        <v>4</v>
      </c>
      <c r="K813" s="4">
        <v>3</v>
      </c>
      <c r="L813" s="16">
        <v>25</v>
      </c>
      <c r="M813" s="16">
        <f xml:space="preserve"> K813 * L813</f>
        <v>75</v>
      </c>
      <c r="N813" s="16">
        <f>M813 * $Q$3</f>
        <v>1.125</v>
      </c>
      <c r="O813" s="16">
        <f>M813 * $Q$4</f>
        <v>1.5</v>
      </c>
    </row>
    <row r="814" spans="1:15">
      <c r="A814" s="2">
        <v>813</v>
      </c>
      <c r="B814" s="4">
        <f>DAY(E814)</f>
        <v>3</v>
      </c>
      <c r="C814" s="4">
        <f>MONTH(E814)</f>
        <v>10</v>
      </c>
      <c r="D814" s="4">
        <f>YEAR(E814)</f>
        <v>2023</v>
      </c>
      <c r="E814" s="3">
        <v>45202</v>
      </c>
      <c r="F814" s="4" t="s">
        <v>844</v>
      </c>
      <c r="G814" s="4" t="s">
        <v>8</v>
      </c>
      <c r="H814" s="4">
        <v>52</v>
      </c>
      <c r="I814" s="4" t="str" cm="1">
        <f t="array" ref="I814">_xlfn.IFS(H814&lt;30, "Young Adult", H814&lt;50, "Adult", H814&gt;=50, "Senior")</f>
        <v>Senior</v>
      </c>
      <c r="J814" s="4" t="s">
        <v>4</v>
      </c>
      <c r="K814" s="4">
        <v>3</v>
      </c>
      <c r="L814" s="16">
        <v>50</v>
      </c>
      <c r="M814" s="16">
        <f xml:space="preserve"> K814 * L814</f>
        <v>150</v>
      </c>
      <c r="N814" s="16">
        <f>M814 * $Q$3</f>
        <v>2.25</v>
      </c>
      <c r="O814" s="16">
        <f>M814 * $Q$4</f>
        <v>3</v>
      </c>
    </row>
    <row r="815" spans="1:15">
      <c r="A815" s="2">
        <v>814</v>
      </c>
      <c r="B815" s="4">
        <f>DAY(E815)</f>
        <v>5</v>
      </c>
      <c r="C815" s="4">
        <f>MONTH(E815)</f>
        <v>9</v>
      </c>
      <c r="D815" s="4">
        <f>YEAR(E815)</f>
        <v>2023</v>
      </c>
      <c r="E815" s="3">
        <v>45174</v>
      </c>
      <c r="F815" s="4" t="s">
        <v>845</v>
      </c>
      <c r="G815" s="4" t="s">
        <v>7</v>
      </c>
      <c r="H815" s="4">
        <v>59</v>
      </c>
      <c r="I815" s="4" t="str" cm="1">
        <f t="array" ref="I815">_xlfn.IFS(H815&lt;30, "Young Adult", H815&lt;50, "Adult", H815&gt;=50, "Senior")</f>
        <v>Senior</v>
      </c>
      <c r="J815" s="4" t="s">
        <v>3</v>
      </c>
      <c r="K815" s="4">
        <v>1</v>
      </c>
      <c r="L815" s="16">
        <v>500</v>
      </c>
      <c r="M815" s="16">
        <f xml:space="preserve"> K815 * L815</f>
        <v>500</v>
      </c>
      <c r="N815" s="16">
        <f>M815 * $Q$3</f>
        <v>7.5</v>
      </c>
      <c r="O815" s="16">
        <f>M815 * $Q$4</f>
        <v>10</v>
      </c>
    </row>
    <row r="816" spans="1:15">
      <c r="A816" s="2">
        <v>815</v>
      </c>
      <c r="B816" s="4">
        <f>DAY(E816)</f>
        <v>27</v>
      </c>
      <c r="C816" s="4">
        <f>MONTH(E816)</f>
        <v>8</v>
      </c>
      <c r="D816" s="4">
        <f>YEAR(E816)</f>
        <v>2023</v>
      </c>
      <c r="E816" s="3">
        <v>45165</v>
      </c>
      <c r="F816" s="4" t="s">
        <v>846</v>
      </c>
      <c r="G816" s="4" t="s">
        <v>7</v>
      </c>
      <c r="H816" s="4">
        <v>51</v>
      </c>
      <c r="I816" s="4" t="str" cm="1">
        <f t="array" ref="I816">_xlfn.IFS(H816&lt;30, "Young Adult", H816&lt;50, "Adult", H816&gt;=50, "Senior")</f>
        <v>Senior</v>
      </c>
      <c r="J816" s="4" t="s">
        <v>3</v>
      </c>
      <c r="K816" s="4">
        <v>3</v>
      </c>
      <c r="L816" s="16">
        <v>25</v>
      </c>
      <c r="M816" s="16">
        <f xml:space="preserve"> K816 * L816</f>
        <v>75</v>
      </c>
      <c r="N816" s="16">
        <f>M816 * $Q$3</f>
        <v>1.125</v>
      </c>
      <c r="O816" s="16">
        <f>M816 * $Q$4</f>
        <v>1.5</v>
      </c>
    </row>
    <row r="817" spans="1:15">
      <c r="A817" s="2">
        <v>816</v>
      </c>
      <c r="B817" s="4">
        <f>DAY(E817)</f>
        <v>12</v>
      </c>
      <c r="C817" s="4">
        <f>MONTH(E817)</f>
        <v>8</v>
      </c>
      <c r="D817" s="4">
        <f>YEAR(E817)</f>
        <v>2023</v>
      </c>
      <c r="E817" s="3">
        <v>45150</v>
      </c>
      <c r="F817" s="4" t="s">
        <v>847</v>
      </c>
      <c r="G817" s="4" t="s">
        <v>8</v>
      </c>
      <c r="H817" s="4">
        <v>47</v>
      </c>
      <c r="I817" s="4" t="str" cm="1">
        <f t="array" ref="I817">_xlfn.IFS(H817&lt;30, "Young Adult", H817&lt;50, "Adult", H817&gt;=50, "Senior")</f>
        <v>Adult</v>
      </c>
      <c r="J817" s="4" t="s">
        <v>2</v>
      </c>
      <c r="K817" s="4">
        <v>2</v>
      </c>
      <c r="L817" s="16">
        <v>500</v>
      </c>
      <c r="M817" s="16">
        <f xml:space="preserve"> K817 * L817</f>
        <v>1000</v>
      </c>
      <c r="N817" s="16">
        <f>M817 * $Q$3</f>
        <v>15</v>
      </c>
      <c r="O817" s="16">
        <f>M817 * $Q$4</f>
        <v>20</v>
      </c>
    </row>
    <row r="818" spans="1:15">
      <c r="A818" s="2">
        <v>817</v>
      </c>
      <c r="B818" s="4">
        <f>DAY(E818)</f>
        <v>31</v>
      </c>
      <c r="C818" s="4">
        <f>MONTH(E818)</f>
        <v>10</v>
      </c>
      <c r="D818" s="4">
        <f>YEAR(E818)</f>
        <v>2023</v>
      </c>
      <c r="E818" s="3">
        <v>45230</v>
      </c>
      <c r="F818" s="4" t="s">
        <v>848</v>
      </c>
      <c r="G818" s="4" t="s">
        <v>8</v>
      </c>
      <c r="H818" s="4">
        <v>30</v>
      </c>
      <c r="I818" s="4" t="str" cm="1">
        <f t="array" ref="I818">_xlfn.IFS(H818&lt;30, "Young Adult", H818&lt;50, "Adult", H818&gt;=50, "Senior")</f>
        <v>Adult</v>
      </c>
      <c r="J818" s="4" t="s">
        <v>2</v>
      </c>
      <c r="K818" s="4">
        <v>4</v>
      </c>
      <c r="L818" s="16">
        <v>50</v>
      </c>
      <c r="M818" s="16">
        <f xml:space="preserve"> K818 * L818</f>
        <v>200</v>
      </c>
      <c r="N818" s="16">
        <f>M818 * $Q$3</f>
        <v>3</v>
      </c>
      <c r="O818" s="16">
        <f>M818 * $Q$4</f>
        <v>4</v>
      </c>
    </row>
    <row r="819" spans="1:15">
      <c r="A819" s="2">
        <v>818</v>
      </c>
      <c r="B819" s="4">
        <f>DAY(E819)</f>
        <v>18</v>
      </c>
      <c r="C819" s="4">
        <f>MONTH(E819)</f>
        <v>5</v>
      </c>
      <c r="D819" s="4">
        <f>YEAR(E819)</f>
        <v>2023</v>
      </c>
      <c r="E819" s="3">
        <v>45064</v>
      </c>
      <c r="F819" s="4" t="s">
        <v>849</v>
      </c>
      <c r="G819" s="4" t="s">
        <v>8</v>
      </c>
      <c r="H819" s="4">
        <v>30</v>
      </c>
      <c r="I819" s="4" t="str" cm="1">
        <f t="array" ref="I819">_xlfn.IFS(H819&lt;30, "Young Adult", H819&lt;50, "Adult", H819&gt;=50, "Senior")</f>
        <v>Adult</v>
      </c>
      <c r="J819" s="4" t="s">
        <v>4</v>
      </c>
      <c r="K819" s="4">
        <v>1</v>
      </c>
      <c r="L819" s="16">
        <v>500</v>
      </c>
      <c r="M819" s="16">
        <f xml:space="preserve"> K819 * L819</f>
        <v>500</v>
      </c>
      <c r="N819" s="16">
        <f>M819 * $Q$3</f>
        <v>7.5</v>
      </c>
      <c r="O819" s="16">
        <f>M819 * $Q$4</f>
        <v>10</v>
      </c>
    </row>
    <row r="820" spans="1:15">
      <c r="A820" s="2">
        <v>819</v>
      </c>
      <c r="B820" s="4">
        <f>DAY(E820)</f>
        <v>15</v>
      </c>
      <c r="C820" s="4">
        <f>MONTH(E820)</f>
        <v>6</v>
      </c>
      <c r="D820" s="4">
        <f>YEAR(E820)</f>
        <v>2023</v>
      </c>
      <c r="E820" s="3">
        <v>45092</v>
      </c>
      <c r="F820" s="4" t="s">
        <v>850</v>
      </c>
      <c r="G820" s="4" t="s">
        <v>7</v>
      </c>
      <c r="H820" s="4">
        <v>35</v>
      </c>
      <c r="I820" s="4" t="str" cm="1">
        <f t="array" ref="I820">_xlfn.IFS(H820&lt;30, "Young Adult", H820&lt;50, "Adult", H820&gt;=50, "Senior")</f>
        <v>Adult</v>
      </c>
      <c r="J820" s="4" t="s">
        <v>2</v>
      </c>
      <c r="K820" s="4">
        <v>2</v>
      </c>
      <c r="L820" s="16">
        <v>50</v>
      </c>
      <c r="M820" s="16">
        <f xml:space="preserve"> K820 * L820</f>
        <v>100</v>
      </c>
      <c r="N820" s="16">
        <f>M820 * $Q$3</f>
        <v>1.5</v>
      </c>
      <c r="O820" s="16">
        <f>M820 * $Q$4</f>
        <v>2</v>
      </c>
    </row>
    <row r="821" spans="1:15">
      <c r="A821" s="2">
        <v>820</v>
      </c>
      <c r="B821" s="4">
        <f>DAY(E821)</f>
        <v>6</v>
      </c>
      <c r="C821" s="4">
        <f>MONTH(E821)</f>
        <v>5</v>
      </c>
      <c r="D821" s="4">
        <f>YEAR(E821)</f>
        <v>2023</v>
      </c>
      <c r="E821" s="3">
        <v>45052</v>
      </c>
      <c r="F821" s="4" t="s">
        <v>851</v>
      </c>
      <c r="G821" s="4" t="s">
        <v>8</v>
      </c>
      <c r="H821" s="4">
        <v>49</v>
      </c>
      <c r="I821" s="4" t="str" cm="1">
        <f t="array" ref="I821">_xlfn.IFS(H821&lt;30, "Young Adult", H821&lt;50, "Adult", H821&gt;=50, "Senior")</f>
        <v>Adult</v>
      </c>
      <c r="J821" s="4" t="s">
        <v>4</v>
      </c>
      <c r="K821" s="4">
        <v>4</v>
      </c>
      <c r="L821" s="16">
        <v>50</v>
      </c>
      <c r="M821" s="16">
        <f xml:space="preserve"> K821 * L821</f>
        <v>200</v>
      </c>
      <c r="N821" s="16">
        <f>M821 * $Q$3</f>
        <v>3</v>
      </c>
      <c r="O821" s="16">
        <f>M821 * $Q$4</f>
        <v>4</v>
      </c>
    </row>
    <row r="822" spans="1:15">
      <c r="A822" s="2">
        <v>821</v>
      </c>
      <c r="B822" s="4">
        <f>DAY(E822)</f>
        <v>14</v>
      </c>
      <c r="C822" s="4">
        <f>MONTH(E822)</f>
        <v>2</v>
      </c>
      <c r="D822" s="4">
        <f>YEAR(E822)</f>
        <v>2023</v>
      </c>
      <c r="E822" s="3">
        <v>44971</v>
      </c>
      <c r="F822" s="4" t="s">
        <v>852</v>
      </c>
      <c r="G822" s="4" t="s">
        <v>8</v>
      </c>
      <c r="H822" s="4">
        <v>49</v>
      </c>
      <c r="I822" s="4" t="str" cm="1">
        <f t="array" ref="I822">_xlfn.IFS(H822&lt;30, "Young Adult", H822&lt;50, "Adult", H822&gt;=50, "Senior")</f>
        <v>Adult</v>
      </c>
      <c r="J822" s="4" t="s">
        <v>4</v>
      </c>
      <c r="K822" s="4">
        <v>1</v>
      </c>
      <c r="L822" s="16">
        <v>300</v>
      </c>
      <c r="M822" s="16">
        <f xml:space="preserve"> K822 * L822</f>
        <v>300</v>
      </c>
      <c r="N822" s="16">
        <f>M822 * $Q$3</f>
        <v>4.5</v>
      </c>
      <c r="O822" s="16">
        <f>M822 * $Q$4</f>
        <v>6</v>
      </c>
    </row>
    <row r="823" spans="1:15">
      <c r="A823" s="2">
        <v>822</v>
      </c>
      <c r="B823" s="4">
        <f>DAY(E823)</f>
        <v>23</v>
      </c>
      <c r="C823" s="4">
        <f>MONTH(E823)</f>
        <v>5</v>
      </c>
      <c r="D823" s="4">
        <f>YEAR(E823)</f>
        <v>2023</v>
      </c>
      <c r="E823" s="3">
        <v>45069</v>
      </c>
      <c r="F823" s="4" t="s">
        <v>853</v>
      </c>
      <c r="G823" s="4" t="s">
        <v>7</v>
      </c>
      <c r="H823" s="4">
        <v>52</v>
      </c>
      <c r="I823" s="4" t="str" cm="1">
        <f t="array" ref="I823">_xlfn.IFS(H823&lt;30, "Young Adult", H823&lt;50, "Adult", H823&gt;=50, "Senior")</f>
        <v>Senior</v>
      </c>
      <c r="J823" s="4" t="s">
        <v>2</v>
      </c>
      <c r="K823" s="4">
        <v>3</v>
      </c>
      <c r="L823" s="16">
        <v>50</v>
      </c>
      <c r="M823" s="16">
        <f xml:space="preserve"> K823 * L823</f>
        <v>150</v>
      </c>
      <c r="N823" s="16">
        <f>M823 * $Q$3</f>
        <v>2.25</v>
      </c>
      <c r="O823" s="16">
        <f>M823 * $Q$4</f>
        <v>3</v>
      </c>
    </row>
    <row r="824" spans="1:15">
      <c r="A824" s="2">
        <v>823</v>
      </c>
      <c r="B824" s="4">
        <f>DAY(E824)</f>
        <v>19</v>
      </c>
      <c r="C824" s="4">
        <f>MONTH(E824)</f>
        <v>8</v>
      </c>
      <c r="D824" s="4">
        <f>YEAR(E824)</f>
        <v>2023</v>
      </c>
      <c r="E824" s="3">
        <v>45157</v>
      </c>
      <c r="F824" s="4" t="s">
        <v>854</v>
      </c>
      <c r="G824" s="4" t="s">
        <v>7</v>
      </c>
      <c r="H824" s="4">
        <v>56</v>
      </c>
      <c r="I824" s="4" t="str" cm="1">
        <f t="array" ref="I824">_xlfn.IFS(H824&lt;30, "Young Adult", H824&lt;50, "Adult", H824&gt;=50, "Senior")</f>
        <v>Senior</v>
      </c>
      <c r="J824" s="4" t="s">
        <v>4</v>
      </c>
      <c r="K824" s="4">
        <v>2</v>
      </c>
      <c r="L824" s="16">
        <v>50</v>
      </c>
      <c r="M824" s="16">
        <f xml:space="preserve"> K824 * L824</f>
        <v>100</v>
      </c>
      <c r="N824" s="16">
        <f>M824 * $Q$3</f>
        <v>1.5</v>
      </c>
      <c r="O824" s="16">
        <f>M824 * $Q$4</f>
        <v>2</v>
      </c>
    </row>
    <row r="825" spans="1:15">
      <c r="A825" s="2">
        <v>824</v>
      </c>
      <c r="B825" s="4">
        <f>DAY(E825)</f>
        <v>5</v>
      </c>
      <c r="C825" s="4">
        <f>MONTH(E825)</f>
        <v>5</v>
      </c>
      <c r="D825" s="4">
        <f>YEAR(E825)</f>
        <v>2023</v>
      </c>
      <c r="E825" s="3">
        <v>45051</v>
      </c>
      <c r="F825" s="4" t="s">
        <v>855</v>
      </c>
      <c r="G825" s="4" t="s">
        <v>8</v>
      </c>
      <c r="H825" s="4">
        <v>63</v>
      </c>
      <c r="I825" s="4" t="str" cm="1">
        <f t="array" ref="I825">_xlfn.IFS(H825&lt;30, "Young Adult", H825&lt;50, "Adult", H825&gt;=50, "Senior")</f>
        <v>Senior</v>
      </c>
      <c r="J825" s="4" t="s">
        <v>3</v>
      </c>
      <c r="K825" s="4">
        <v>4</v>
      </c>
      <c r="L825" s="16">
        <v>30</v>
      </c>
      <c r="M825" s="16">
        <f xml:space="preserve"> K825 * L825</f>
        <v>120</v>
      </c>
      <c r="N825" s="16">
        <f>M825 * $Q$3</f>
        <v>1.7999999999999998</v>
      </c>
      <c r="O825" s="16">
        <f>M825 * $Q$4</f>
        <v>2.4</v>
      </c>
    </row>
    <row r="826" spans="1:15">
      <c r="A826" s="2">
        <v>825</v>
      </c>
      <c r="B826" s="4">
        <f>DAY(E826)</f>
        <v>26</v>
      </c>
      <c r="C826" s="4">
        <f>MONTH(E826)</f>
        <v>8</v>
      </c>
      <c r="D826" s="4">
        <f>YEAR(E826)</f>
        <v>2023</v>
      </c>
      <c r="E826" s="3">
        <v>45164</v>
      </c>
      <c r="F826" s="4" t="s">
        <v>856</v>
      </c>
      <c r="G826" s="4" t="s">
        <v>7</v>
      </c>
      <c r="H826" s="4">
        <v>46</v>
      </c>
      <c r="I826" s="4" t="str" cm="1">
        <f t="array" ref="I826">_xlfn.IFS(H826&lt;30, "Young Adult", H826&lt;50, "Adult", H826&gt;=50, "Senior")</f>
        <v>Adult</v>
      </c>
      <c r="J826" s="4" t="s">
        <v>2</v>
      </c>
      <c r="K826" s="4">
        <v>1</v>
      </c>
      <c r="L826" s="16">
        <v>25</v>
      </c>
      <c r="M826" s="16">
        <f xml:space="preserve"> K826 * L826</f>
        <v>25</v>
      </c>
      <c r="N826" s="16">
        <f>M826 * $Q$3</f>
        <v>0.375</v>
      </c>
      <c r="O826" s="16">
        <f>M826 * $Q$4</f>
        <v>0.5</v>
      </c>
    </row>
    <row r="827" spans="1:15">
      <c r="A827" s="2">
        <v>826</v>
      </c>
      <c r="B827" s="4">
        <f>DAY(E827)</f>
        <v>19</v>
      </c>
      <c r="C827" s="4">
        <f>MONTH(E827)</f>
        <v>10</v>
      </c>
      <c r="D827" s="4">
        <f>YEAR(E827)</f>
        <v>2023</v>
      </c>
      <c r="E827" s="3">
        <v>45218</v>
      </c>
      <c r="F827" s="4" t="s">
        <v>857</v>
      </c>
      <c r="G827" s="4" t="s">
        <v>7</v>
      </c>
      <c r="H827" s="4">
        <v>46</v>
      </c>
      <c r="I827" s="4" t="str" cm="1">
        <f t="array" ref="I827">_xlfn.IFS(H827&lt;30, "Young Adult", H827&lt;50, "Adult", H827&gt;=50, "Senior")</f>
        <v>Adult</v>
      </c>
      <c r="J827" s="4" t="s">
        <v>3</v>
      </c>
      <c r="K827" s="4">
        <v>1</v>
      </c>
      <c r="L827" s="16">
        <v>300</v>
      </c>
      <c r="M827" s="16">
        <f xml:space="preserve"> K827 * L827</f>
        <v>300</v>
      </c>
      <c r="N827" s="16">
        <f>M827 * $Q$3</f>
        <v>4.5</v>
      </c>
      <c r="O827" s="16">
        <f>M827 * $Q$4</f>
        <v>6</v>
      </c>
    </row>
    <row r="828" spans="1:15">
      <c r="A828" s="2">
        <v>827</v>
      </c>
      <c r="B828" s="4">
        <f>DAY(E828)</f>
        <v>9</v>
      </c>
      <c r="C828" s="4">
        <f>MONTH(E828)</f>
        <v>11</v>
      </c>
      <c r="D828" s="4">
        <f>YEAR(E828)</f>
        <v>2023</v>
      </c>
      <c r="E828" s="3">
        <v>45239</v>
      </c>
      <c r="F828" s="4" t="s">
        <v>858</v>
      </c>
      <c r="G828" s="4" t="s">
        <v>8</v>
      </c>
      <c r="H828" s="4">
        <v>61</v>
      </c>
      <c r="I828" s="4" t="str" cm="1">
        <f t="array" ref="I828">_xlfn.IFS(H828&lt;30, "Young Adult", H828&lt;50, "Adult", H828&gt;=50, "Senior")</f>
        <v>Senior</v>
      </c>
      <c r="J828" s="4" t="s">
        <v>2</v>
      </c>
      <c r="K828" s="4">
        <v>3</v>
      </c>
      <c r="L828" s="16">
        <v>300</v>
      </c>
      <c r="M828" s="16">
        <f xml:space="preserve"> K828 * L828</f>
        <v>900</v>
      </c>
      <c r="N828" s="16">
        <f>M828 * $Q$3</f>
        <v>13.5</v>
      </c>
      <c r="O828" s="16">
        <f>M828 * $Q$4</f>
        <v>18</v>
      </c>
    </row>
    <row r="829" spans="1:15">
      <c r="A829" s="2">
        <v>828</v>
      </c>
      <c r="B829" s="4">
        <f>DAY(E829)</f>
        <v>9</v>
      </c>
      <c r="C829" s="4">
        <f>MONTH(E829)</f>
        <v>12</v>
      </c>
      <c r="D829" s="4">
        <f>YEAR(E829)</f>
        <v>2023</v>
      </c>
      <c r="E829" s="3">
        <v>45269</v>
      </c>
      <c r="F829" s="4" t="s">
        <v>859</v>
      </c>
      <c r="G829" s="4" t="s">
        <v>7</v>
      </c>
      <c r="H829" s="4">
        <v>33</v>
      </c>
      <c r="I829" s="4" t="str" cm="1">
        <f t="array" ref="I829">_xlfn.IFS(H829&lt;30, "Young Adult", H829&lt;50, "Adult", H829&gt;=50, "Senior")</f>
        <v>Adult</v>
      </c>
      <c r="J829" s="4" t="s">
        <v>4</v>
      </c>
      <c r="K829" s="4">
        <v>4</v>
      </c>
      <c r="L829" s="16">
        <v>300</v>
      </c>
      <c r="M829" s="16">
        <f xml:space="preserve"> K829 * L829</f>
        <v>1200</v>
      </c>
      <c r="N829" s="16">
        <f>M829 * $Q$3</f>
        <v>18</v>
      </c>
      <c r="O829" s="16">
        <f>M829 * $Q$4</f>
        <v>24</v>
      </c>
    </row>
    <row r="830" spans="1:15">
      <c r="A830" s="2">
        <v>829</v>
      </c>
      <c r="B830" s="4">
        <f>DAY(E830)</f>
        <v>14</v>
      </c>
      <c r="C830" s="4">
        <f>MONTH(E830)</f>
        <v>7</v>
      </c>
      <c r="D830" s="4">
        <f>YEAR(E830)</f>
        <v>2023</v>
      </c>
      <c r="E830" s="3">
        <v>45121</v>
      </c>
      <c r="F830" s="4" t="s">
        <v>860</v>
      </c>
      <c r="G830" s="4" t="s">
        <v>8</v>
      </c>
      <c r="H830" s="4">
        <v>61</v>
      </c>
      <c r="I830" s="4" t="str" cm="1">
        <f t="array" ref="I830">_xlfn.IFS(H830&lt;30, "Young Adult", H830&lt;50, "Adult", H830&gt;=50, "Senior")</f>
        <v>Senior</v>
      </c>
      <c r="J830" s="4" t="s">
        <v>2</v>
      </c>
      <c r="K830" s="4">
        <v>3</v>
      </c>
      <c r="L830" s="16">
        <v>30</v>
      </c>
      <c r="M830" s="16">
        <f xml:space="preserve"> K830 * L830</f>
        <v>90</v>
      </c>
      <c r="N830" s="16">
        <f>M830 * $Q$3</f>
        <v>1.3499999999999999</v>
      </c>
      <c r="O830" s="16">
        <f>M830 * $Q$4</f>
        <v>1.8</v>
      </c>
    </row>
    <row r="831" spans="1:15">
      <c r="A831" s="2">
        <v>830</v>
      </c>
      <c r="B831" s="4">
        <f>DAY(E831)</f>
        <v>22</v>
      </c>
      <c r="C831" s="4">
        <f>MONTH(E831)</f>
        <v>6</v>
      </c>
      <c r="D831" s="4">
        <f>YEAR(E831)</f>
        <v>2023</v>
      </c>
      <c r="E831" s="3">
        <v>45099</v>
      </c>
      <c r="F831" s="4" t="s">
        <v>861</v>
      </c>
      <c r="G831" s="4" t="s">
        <v>7</v>
      </c>
      <c r="H831" s="4">
        <v>64</v>
      </c>
      <c r="I831" s="4" t="str" cm="1">
        <f t="array" ref="I831">_xlfn.IFS(H831&lt;30, "Young Adult", H831&lt;50, "Adult", H831&gt;=50, "Senior")</f>
        <v>Senior</v>
      </c>
      <c r="J831" s="4" t="s">
        <v>3</v>
      </c>
      <c r="K831" s="4">
        <v>3</v>
      </c>
      <c r="L831" s="16">
        <v>50</v>
      </c>
      <c r="M831" s="16">
        <f xml:space="preserve"> K831 * L831</f>
        <v>150</v>
      </c>
      <c r="N831" s="16">
        <f>M831 * $Q$3</f>
        <v>2.25</v>
      </c>
      <c r="O831" s="16">
        <f>M831 * $Q$4</f>
        <v>3</v>
      </c>
    </row>
    <row r="832" spans="1:15">
      <c r="A832" s="2">
        <v>831</v>
      </c>
      <c r="B832" s="4">
        <f>DAY(E832)</f>
        <v>15</v>
      </c>
      <c r="C832" s="4">
        <f>MONTH(E832)</f>
        <v>1</v>
      </c>
      <c r="D832" s="4">
        <f>YEAR(E832)</f>
        <v>2023</v>
      </c>
      <c r="E832" s="3">
        <v>44941</v>
      </c>
      <c r="F832" s="4" t="s">
        <v>862</v>
      </c>
      <c r="G832" s="4" t="s">
        <v>8</v>
      </c>
      <c r="H832" s="4">
        <v>27</v>
      </c>
      <c r="I832" s="4" t="str" cm="1">
        <f t="array" ref="I832">_xlfn.IFS(H832&lt;30, "Young Adult", H832&lt;50, "Adult", H832&gt;=50, "Senior")</f>
        <v>Young Adult</v>
      </c>
      <c r="J832" s="4" t="s">
        <v>4</v>
      </c>
      <c r="K832" s="4">
        <v>4</v>
      </c>
      <c r="L832" s="16">
        <v>25</v>
      </c>
      <c r="M832" s="16">
        <f xml:space="preserve"> K832 * L832</f>
        <v>100</v>
      </c>
      <c r="N832" s="16">
        <f>M832 * $Q$3</f>
        <v>1.5</v>
      </c>
      <c r="O832" s="16">
        <f>M832 * $Q$4</f>
        <v>2</v>
      </c>
    </row>
    <row r="833" spans="1:15">
      <c r="A833" s="2">
        <v>832</v>
      </c>
      <c r="B833" s="4">
        <f>DAY(E833)</f>
        <v>11</v>
      </c>
      <c r="C833" s="4">
        <f>MONTH(E833)</f>
        <v>9</v>
      </c>
      <c r="D833" s="4">
        <f>YEAR(E833)</f>
        <v>2023</v>
      </c>
      <c r="E833" s="3">
        <v>45180</v>
      </c>
      <c r="F833" s="4" t="s">
        <v>863</v>
      </c>
      <c r="G833" s="4" t="s">
        <v>8</v>
      </c>
      <c r="H833" s="4">
        <v>47</v>
      </c>
      <c r="I833" s="4" t="str" cm="1">
        <f t="array" ref="I833">_xlfn.IFS(H833&lt;30, "Young Adult", H833&lt;50, "Adult", H833&gt;=50, "Senior")</f>
        <v>Adult</v>
      </c>
      <c r="J833" s="4" t="s">
        <v>2</v>
      </c>
      <c r="K833" s="4">
        <v>4</v>
      </c>
      <c r="L833" s="16">
        <v>500</v>
      </c>
      <c r="M833" s="16">
        <f xml:space="preserve"> K833 * L833</f>
        <v>2000</v>
      </c>
      <c r="N833" s="16">
        <f>M833 * $Q$3</f>
        <v>30</v>
      </c>
      <c r="O833" s="16">
        <f>M833 * $Q$4</f>
        <v>40</v>
      </c>
    </row>
    <row r="834" spans="1:15">
      <c r="A834" s="2">
        <v>833</v>
      </c>
      <c r="B834" s="4">
        <f>DAY(E834)</f>
        <v>16</v>
      </c>
      <c r="C834" s="4">
        <f>MONTH(E834)</f>
        <v>6</v>
      </c>
      <c r="D834" s="4">
        <f>YEAR(E834)</f>
        <v>2023</v>
      </c>
      <c r="E834" s="3">
        <v>45093</v>
      </c>
      <c r="F834" s="4" t="s">
        <v>864</v>
      </c>
      <c r="G834" s="4" t="s">
        <v>8</v>
      </c>
      <c r="H834" s="4">
        <v>42</v>
      </c>
      <c r="I834" s="4" t="str" cm="1">
        <f t="array" ref="I834">_xlfn.IFS(H834&lt;30, "Young Adult", H834&lt;50, "Adult", H834&gt;=50, "Senior")</f>
        <v>Adult</v>
      </c>
      <c r="J834" s="4" t="s">
        <v>2</v>
      </c>
      <c r="K834" s="4">
        <v>4</v>
      </c>
      <c r="L834" s="16">
        <v>50</v>
      </c>
      <c r="M834" s="16">
        <f xml:space="preserve"> K834 * L834</f>
        <v>200</v>
      </c>
      <c r="N834" s="16">
        <f>M834 * $Q$3</f>
        <v>3</v>
      </c>
      <c r="O834" s="16">
        <f>M834 * $Q$4</f>
        <v>4</v>
      </c>
    </row>
    <row r="835" spans="1:15">
      <c r="A835" s="2">
        <v>834</v>
      </c>
      <c r="B835" s="4">
        <f>DAY(E835)</f>
        <v>4</v>
      </c>
      <c r="C835" s="4">
        <f>MONTH(E835)</f>
        <v>4</v>
      </c>
      <c r="D835" s="4">
        <f>YEAR(E835)</f>
        <v>2023</v>
      </c>
      <c r="E835" s="3">
        <v>45020</v>
      </c>
      <c r="F835" s="4" t="s">
        <v>865</v>
      </c>
      <c r="G835" s="4" t="s">
        <v>7</v>
      </c>
      <c r="H835" s="4">
        <v>56</v>
      </c>
      <c r="I835" s="4" t="str" cm="1">
        <f t="array" ref="I835">_xlfn.IFS(H835&lt;30, "Young Adult", H835&lt;50, "Adult", H835&gt;=50, "Senior")</f>
        <v>Senior</v>
      </c>
      <c r="J835" s="4" t="s">
        <v>2</v>
      </c>
      <c r="K835" s="4">
        <v>2</v>
      </c>
      <c r="L835" s="16">
        <v>30</v>
      </c>
      <c r="M835" s="16">
        <f xml:space="preserve"> K835 * L835</f>
        <v>60</v>
      </c>
      <c r="N835" s="16">
        <f>M835 * $Q$3</f>
        <v>0.89999999999999991</v>
      </c>
      <c r="O835" s="16">
        <f>M835 * $Q$4</f>
        <v>1.2</v>
      </c>
    </row>
    <row r="836" spans="1:15">
      <c r="A836" s="2">
        <v>835</v>
      </c>
      <c r="B836" s="4">
        <f>DAY(E836)</f>
        <v>7</v>
      </c>
      <c r="C836" s="4">
        <f>MONTH(E836)</f>
        <v>9</v>
      </c>
      <c r="D836" s="4">
        <f>YEAR(E836)</f>
        <v>2023</v>
      </c>
      <c r="E836" s="3">
        <v>45176</v>
      </c>
      <c r="F836" s="4" t="s">
        <v>866</v>
      </c>
      <c r="G836" s="4" t="s">
        <v>8</v>
      </c>
      <c r="H836" s="4">
        <v>37</v>
      </c>
      <c r="I836" s="4" t="str" cm="1">
        <f t="array" ref="I836">_xlfn.IFS(H836&lt;30, "Young Adult", H836&lt;50, "Adult", H836&gt;=50, "Senior")</f>
        <v>Adult</v>
      </c>
      <c r="J836" s="4" t="s">
        <v>3</v>
      </c>
      <c r="K836" s="4">
        <v>4</v>
      </c>
      <c r="L836" s="16">
        <v>50</v>
      </c>
      <c r="M836" s="16">
        <f xml:space="preserve"> K836 * L836</f>
        <v>200</v>
      </c>
      <c r="N836" s="16">
        <f>M836 * $Q$3</f>
        <v>3</v>
      </c>
      <c r="O836" s="16">
        <f>M836 * $Q$4</f>
        <v>4</v>
      </c>
    </row>
    <row r="837" spans="1:15">
      <c r="A837" s="2">
        <v>836</v>
      </c>
      <c r="B837" s="4">
        <f>DAY(E837)</f>
        <v>19</v>
      </c>
      <c r="C837" s="4">
        <f>MONTH(E837)</f>
        <v>4</v>
      </c>
      <c r="D837" s="4">
        <f>YEAR(E837)</f>
        <v>2023</v>
      </c>
      <c r="E837" s="3">
        <v>45035</v>
      </c>
      <c r="F837" s="4" t="s">
        <v>867</v>
      </c>
      <c r="G837" s="4" t="s">
        <v>7</v>
      </c>
      <c r="H837" s="4">
        <v>22</v>
      </c>
      <c r="I837" s="4" t="str" cm="1">
        <f t="array" ref="I837">_xlfn.IFS(H837&lt;30, "Young Adult", H837&lt;50, "Adult", H837&gt;=50, "Senior")</f>
        <v>Young Adult</v>
      </c>
      <c r="J837" s="4" t="s">
        <v>3</v>
      </c>
      <c r="K837" s="4">
        <v>1</v>
      </c>
      <c r="L837" s="16">
        <v>50</v>
      </c>
      <c r="M837" s="16">
        <f xml:space="preserve"> K837 * L837</f>
        <v>50</v>
      </c>
      <c r="N837" s="16">
        <f>M837 * $Q$3</f>
        <v>0.75</v>
      </c>
      <c r="O837" s="16">
        <f>M837 * $Q$4</f>
        <v>1</v>
      </c>
    </row>
    <row r="838" spans="1:15">
      <c r="A838" s="2">
        <v>837</v>
      </c>
      <c r="B838" s="4">
        <f>DAY(E838)</f>
        <v>1</v>
      </c>
      <c r="C838" s="4">
        <f>MONTH(E838)</f>
        <v>7</v>
      </c>
      <c r="D838" s="4">
        <f>YEAR(E838)</f>
        <v>2023</v>
      </c>
      <c r="E838" s="3">
        <v>45108</v>
      </c>
      <c r="F838" s="4" t="s">
        <v>868</v>
      </c>
      <c r="G838" s="4" t="s">
        <v>8</v>
      </c>
      <c r="H838" s="4">
        <v>18</v>
      </c>
      <c r="I838" s="4" t="str" cm="1">
        <f t="array" ref="I838">_xlfn.IFS(H838&lt;30, "Young Adult", H838&lt;50, "Adult", H838&gt;=50, "Senior")</f>
        <v>Young Adult</v>
      </c>
      <c r="J838" s="4" t="s">
        <v>2</v>
      </c>
      <c r="K838" s="4">
        <v>3</v>
      </c>
      <c r="L838" s="16">
        <v>30</v>
      </c>
      <c r="M838" s="16">
        <f xml:space="preserve"> K838 * L838</f>
        <v>90</v>
      </c>
      <c r="N838" s="16">
        <f>M838 * $Q$3</f>
        <v>1.3499999999999999</v>
      </c>
      <c r="O838" s="16">
        <f>M838 * $Q$4</f>
        <v>1.8</v>
      </c>
    </row>
    <row r="839" spans="1:15">
      <c r="A839" s="2">
        <v>838</v>
      </c>
      <c r="B839" s="4">
        <f>DAY(E839)</f>
        <v>13</v>
      </c>
      <c r="C839" s="4">
        <f>MONTH(E839)</f>
        <v>5</v>
      </c>
      <c r="D839" s="4">
        <f>YEAR(E839)</f>
        <v>2023</v>
      </c>
      <c r="E839" s="3">
        <v>45059</v>
      </c>
      <c r="F839" s="4" t="s">
        <v>869</v>
      </c>
      <c r="G839" s="4" t="s">
        <v>8</v>
      </c>
      <c r="H839" s="4">
        <v>47</v>
      </c>
      <c r="I839" s="4" t="str" cm="1">
        <f t="array" ref="I839">_xlfn.IFS(H839&lt;30, "Young Adult", H839&lt;50, "Adult", H839&gt;=50, "Senior")</f>
        <v>Adult</v>
      </c>
      <c r="J839" s="4" t="s">
        <v>4</v>
      </c>
      <c r="K839" s="4">
        <v>2</v>
      </c>
      <c r="L839" s="16">
        <v>300</v>
      </c>
      <c r="M839" s="16">
        <f xml:space="preserve"> K839 * L839</f>
        <v>600</v>
      </c>
      <c r="N839" s="16">
        <f>M839 * $Q$3</f>
        <v>9</v>
      </c>
      <c r="O839" s="16">
        <f>M839 * $Q$4</f>
        <v>12</v>
      </c>
    </row>
    <row r="840" spans="1:15">
      <c r="A840" s="2">
        <v>839</v>
      </c>
      <c r="B840" s="4">
        <f>DAY(E840)</f>
        <v>24</v>
      </c>
      <c r="C840" s="4">
        <f>MONTH(E840)</f>
        <v>6</v>
      </c>
      <c r="D840" s="4">
        <f>YEAR(E840)</f>
        <v>2023</v>
      </c>
      <c r="E840" s="3">
        <v>45101</v>
      </c>
      <c r="F840" s="4" t="s">
        <v>870</v>
      </c>
      <c r="G840" s="4" t="s">
        <v>7</v>
      </c>
      <c r="H840" s="4">
        <v>20</v>
      </c>
      <c r="I840" s="4" t="str" cm="1">
        <f t="array" ref="I840">_xlfn.IFS(H840&lt;30, "Young Adult", H840&lt;50, "Adult", H840&gt;=50, "Senior")</f>
        <v>Young Adult</v>
      </c>
      <c r="J840" s="4" t="s">
        <v>4</v>
      </c>
      <c r="K840" s="4">
        <v>4</v>
      </c>
      <c r="L840" s="16">
        <v>300</v>
      </c>
      <c r="M840" s="16">
        <f xml:space="preserve"> K840 * L840</f>
        <v>1200</v>
      </c>
      <c r="N840" s="16">
        <f>M840 * $Q$3</f>
        <v>18</v>
      </c>
      <c r="O840" s="16">
        <f>M840 * $Q$4</f>
        <v>24</v>
      </c>
    </row>
    <row r="841" spans="1:15">
      <c r="A841" s="2">
        <v>840</v>
      </c>
      <c r="B841" s="4">
        <f>DAY(E841)</f>
        <v>24</v>
      </c>
      <c r="C841" s="4">
        <f>MONTH(E841)</f>
        <v>5</v>
      </c>
      <c r="D841" s="4">
        <f>YEAR(E841)</f>
        <v>2023</v>
      </c>
      <c r="E841" s="3">
        <v>45070</v>
      </c>
      <c r="F841" s="4" t="s">
        <v>871</v>
      </c>
      <c r="G841" s="4" t="s">
        <v>8</v>
      </c>
      <c r="H841" s="4">
        <v>62</v>
      </c>
      <c r="I841" s="4" t="str" cm="1">
        <f t="array" ref="I841">_xlfn.IFS(H841&lt;30, "Young Adult", H841&lt;50, "Adult", H841&gt;=50, "Senior")</f>
        <v>Senior</v>
      </c>
      <c r="J841" s="4" t="s">
        <v>3</v>
      </c>
      <c r="K841" s="4">
        <v>2</v>
      </c>
      <c r="L841" s="16">
        <v>25</v>
      </c>
      <c r="M841" s="16">
        <f xml:space="preserve"> K841 * L841</f>
        <v>50</v>
      </c>
      <c r="N841" s="16">
        <f>M841 * $Q$3</f>
        <v>0.75</v>
      </c>
      <c r="O841" s="16">
        <f>M841 * $Q$4</f>
        <v>1</v>
      </c>
    </row>
    <row r="842" spans="1:15">
      <c r="A842" s="2">
        <v>841</v>
      </c>
      <c r="B842" s="4">
        <f>DAY(E842)</f>
        <v>2</v>
      </c>
      <c r="C842" s="4">
        <f>MONTH(E842)</f>
        <v>11</v>
      </c>
      <c r="D842" s="4">
        <f>YEAR(E842)</f>
        <v>2023</v>
      </c>
      <c r="E842" s="3">
        <v>45232</v>
      </c>
      <c r="F842" s="4" t="s">
        <v>872</v>
      </c>
      <c r="G842" s="4" t="s">
        <v>8</v>
      </c>
      <c r="H842" s="4">
        <v>31</v>
      </c>
      <c r="I842" s="4" t="str" cm="1">
        <f t="array" ref="I842">_xlfn.IFS(H842&lt;30, "Young Adult", H842&lt;50, "Adult", H842&gt;=50, "Senior")</f>
        <v>Adult</v>
      </c>
      <c r="J842" s="4" t="s">
        <v>4</v>
      </c>
      <c r="K842" s="4">
        <v>4</v>
      </c>
      <c r="L842" s="16">
        <v>25</v>
      </c>
      <c r="M842" s="16">
        <f xml:space="preserve"> K842 * L842</f>
        <v>100</v>
      </c>
      <c r="N842" s="16">
        <f>M842 * $Q$3</f>
        <v>1.5</v>
      </c>
      <c r="O842" s="16">
        <f>M842 * $Q$4</f>
        <v>2</v>
      </c>
    </row>
    <row r="843" spans="1:15">
      <c r="A843" s="2">
        <v>842</v>
      </c>
      <c r="B843" s="4">
        <f>DAY(E843)</f>
        <v>26</v>
      </c>
      <c r="C843" s="4">
        <f>MONTH(E843)</f>
        <v>12</v>
      </c>
      <c r="D843" s="4">
        <f>YEAR(E843)</f>
        <v>2023</v>
      </c>
      <c r="E843" s="3">
        <v>45286</v>
      </c>
      <c r="F843" s="4" t="s">
        <v>873</v>
      </c>
      <c r="G843" s="4" t="s">
        <v>7</v>
      </c>
      <c r="H843" s="4">
        <v>47</v>
      </c>
      <c r="I843" s="4" t="str" cm="1">
        <f t="array" ref="I843">_xlfn.IFS(H843&lt;30, "Young Adult", H843&lt;50, "Adult", H843&gt;=50, "Senior")</f>
        <v>Adult</v>
      </c>
      <c r="J843" s="4" t="s">
        <v>3</v>
      </c>
      <c r="K843" s="4">
        <v>2</v>
      </c>
      <c r="L843" s="16">
        <v>300</v>
      </c>
      <c r="M843" s="16">
        <f xml:space="preserve"> K843 * L843</f>
        <v>600</v>
      </c>
      <c r="N843" s="16">
        <f>M843 * $Q$3</f>
        <v>9</v>
      </c>
      <c r="O843" s="16">
        <f>M843 * $Q$4</f>
        <v>12</v>
      </c>
    </row>
    <row r="844" spans="1:15">
      <c r="A844" s="2">
        <v>843</v>
      </c>
      <c r="B844" s="4">
        <f>DAY(E844)</f>
        <v>22</v>
      </c>
      <c r="C844" s="4">
        <f>MONTH(E844)</f>
        <v>5</v>
      </c>
      <c r="D844" s="4">
        <f>YEAR(E844)</f>
        <v>2023</v>
      </c>
      <c r="E844" s="3">
        <v>45068</v>
      </c>
      <c r="F844" s="4" t="s">
        <v>874</v>
      </c>
      <c r="G844" s="4" t="s">
        <v>8</v>
      </c>
      <c r="H844" s="4">
        <v>21</v>
      </c>
      <c r="I844" s="4" t="str" cm="1">
        <f t="array" ref="I844">_xlfn.IFS(H844&lt;30, "Young Adult", H844&lt;50, "Adult", H844&gt;=50, "Senior")</f>
        <v>Young Adult</v>
      </c>
      <c r="J844" s="4" t="s">
        <v>2</v>
      </c>
      <c r="K844" s="4">
        <v>3</v>
      </c>
      <c r="L844" s="16">
        <v>500</v>
      </c>
      <c r="M844" s="16">
        <f xml:space="preserve"> K844 * L844</f>
        <v>1500</v>
      </c>
      <c r="N844" s="16">
        <f>M844 * $Q$3</f>
        <v>22.5</v>
      </c>
      <c r="O844" s="16">
        <f>M844 * $Q$4</f>
        <v>30</v>
      </c>
    </row>
    <row r="845" spans="1:15">
      <c r="A845" s="2">
        <v>844</v>
      </c>
      <c r="B845" s="4">
        <f>DAY(E845)</f>
        <v>12</v>
      </c>
      <c r="C845" s="4">
        <f>MONTH(E845)</f>
        <v>10</v>
      </c>
      <c r="D845" s="4">
        <f>YEAR(E845)</f>
        <v>2023</v>
      </c>
      <c r="E845" s="3">
        <v>45211</v>
      </c>
      <c r="F845" s="4" t="s">
        <v>875</v>
      </c>
      <c r="G845" s="4" t="s">
        <v>8</v>
      </c>
      <c r="H845" s="4">
        <v>35</v>
      </c>
      <c r="I845" s="4" t="str" cm="1">
        <f t="array" ref="I845">_xlfn.IFS(H845&lt;30, "Young Adult", H845&lt;50, "Adult", H845&gt;=50, "Senior")</f>
        <v>Adult</v>
      </c>
      <c r="J845" s="4" t="s">
        <v>3</v>
      </c>
      <c r="K845" s="4">
        <v>3</v>
      </c>
      <c r="L845" s="16">
        <v>50</v>
      </c>
      <c r="M845" s="16">
        <f xml:space="preserve"> K845 * L845</f>
        <v>150</v>
      </c>
      <c r="N845" s="16">
        <f>M845 * $Q$3</f>
        <v>2.25</v>
      </c>
      <c r="O845" s="16">
        <f>M845 * $Q$4</f>
        <v>3</v>
      </c>
    </row>
    <row r="846" spans="1:15">
      <c r="A846" s="2">
        <v>845</v>
      </c>
      <c r="B846" s="4">
        <f>DAY(E846)</f>
        <v>6</v>
      </c>
      <c r="C846" s="4">
        <f>MONTH(E846)</f>
        <v>1</v>
      </c>
      <c r="D846" s="4">
        <f>YEAR(E846)</f>
        <v>2023</v>
      </c>
      <c r="E846" s="3">
        <v>44932</v>
      </c>
      <c r="F846" s="4" t="s">
        <v>876</v>
      </c>
      <c r="G846" s="4" t="s">
        <v>8</v>
      </c>
      <c r="H846" s="4">
        <v>54</v>
      </c>
      <c r="I846" s="4" t="str" cm="1">
        <f t="array" ref="I846">_xlfn.IFS(H846&lt;30, "Young Adult", H846&lt;50, "Adult", H846&gt;=50, "Senior")</f>
        <v>Senior</v>
      </c>
      <c r="J846" s="4" t="s">
        <v>3</v>
      </c>
      <c r="K846" s="4">
        <v>1</v>
      </c>
      <c r="L846" s="16">
        <v>500</v>
      </c>
      <c r="M846" s="16">
        <f xml:space="preserve"> K846 * L846</f>
        <v>500</v>
      </c>
      <c r="N846" s="16">
        <f>M846 * $Q$3</f>
        <v>7.5</v>
      </c>
      <c r="O846" s="16">
        <f>M846 * $Q$4</f>
        <v>10</v>
      </c>
    </row>
    <row r="847" spans="1:15">
      <c r="A847" s="2">
        <v>846</v>
      </c>
      <c r="B847" s="4">
        <f>DAY(E847)</f>
        <v>22</v>
      </c>
      <c r="C847" s="4">
        <f>MONTH(E847)</f>
        <v>9</v>
      </c>
      <c r="D847" s="4">
        <f>YEAR(E847)</f>
        <v>2023</v>
      </c>
      <c r="E847" s="3">
        <v>45191</v>
      </c>
      <c r="F847" s="4" t="s">
        <v>877</v>
      </c>
      <c r="G847" s="4" t="s">
        <v>8</v>
      </c>
      <c r="H847" s="4">
        <v>42</v>
      </c>
      <c r="I847" s="4" t="str" cm="1">
        <f t="array" ref="I847">_xlfn.IFS(H847&lt;30, "Young Adult", H847&lt;50, "Adult", H847&gt;=50, "Senior")</f>
        <v>Adult</v>
      </c>
      <c r="J847" s="4" t="s">
        <v>2</v>
      </c>
      <c r="K847" s="4">
        <v>1</v>
      </c>
      <c r="L847" s="16">
        <v>50</v>
      </c>
      <c r="M847" s="16">
        <f xml:space="preserve"> K847 * L847</f>
        <v>50</v>
      </c>
      <c r="N847" s="16">
        <f>M847 * $Q$3</f>
        <v>0.75</v>
      </c>
      <c r="O847" s="16">
        <f>M847 * $Q$4</f>
        <v>1</v>
      </c>
    </row>
    <row r="848" spans="1:15">
      <c r="A848" s="2">
        <v>847</v>
      </c>
      <c r="B848" s="4">
        <f>DAY(E848)</f>
        <v>8</v>
      </c>
      <c r="C848" s="4">
        <f>MONTH(E848)</f>
        <v>4</v>
      </c>
      <c r="D848" s="4">
        <f>YEAR(E848)</f>
        <v>2023</v>
      </c>
      <c r="E848" s="3">
        <v>45024</v>
      </c>
      <c r="F848" s="4" t="s">
        <v>878</v>
      </c>
      <c r="G848" s="4" t="s">
        <v>7</v>
      </c>
      <c r="H848" s="4">
        <v>18</v>
      </c>
      <c r="I848" s="4" t="str" cm="1">
        <f t="array" ref="I848">_xlfn.IFS(H848&lt;30, "Young Adult", H848&lt;50, "Adult", H848&gt;=50, "Senior")</f>
        <v>Young Adult</v>
      </c>
      <c r="J848" s="4" t="s">
        <v>4</v>
      </c>
      <c r="K848" s="4">
        <v>4</v>
      </c>
      <c r="L848" s="16">
        <v>300</v>
      </c>
      <c r="M848" s="16">
        <f xml:space="preserve"> K848 * L848</f>
        <v>1200</v>
      </c>
      <c r="N848" s="16">
        <f>M848 * $Q$3</f>
        <v>18</v>
      </c>
      <c r="O848" s="16">
        <f>M848 * $Q$4</f>
        <v>24</v>
      </c>
    </row>
    <row r="849" spans="1:15">
      <c r="A849" s="2">
        <v>848</v>
      </c>
      <c r="B849" s="4">
        <f>DAY(E849)</f>
        <v>13</v>
      </c>
      <c r="C849" s="4">
        <f>MONTH(E849)</f>
        <v>2</v>
      </c>
      <c r="D849" s="4">
        <f>YEAR(E849)</f>
        <v>2023</v>
      </c>
      <c r="E849" s="3">
        <v>44970</v>
      </c>
      <c r="F849" s="4" t="s">
        <v>879</v>
      </c>
      <c r="G849" s="4" t="s">
        <v>7</v>
      </c>
      <c r="H849" s="4">
        <v>63</v>
      </c>
      <c r="I849" s="4" t="str" cm="1">
        <f t="array" ref="I849">_xlfn.IFS(H849&lt;30, "Young Adult", H849&lt;50, "Adult", H849&gt;=50, "Senior")</f>
        <v>Senior</v>
      </c>
      <c r="J849" s="4" t="s">
        <v>3</v>
      </c>
      <c r="K849" s="4">
        <v>3</v>
      </c>
      <c r="L849" s="16">
        <v>25</v>
      </c>
      <c r="M849" s="16">
        <f xml:space="preserve"> K849 * L849</f>
        <v>75</v>
      </c>
      <c r="N849" s="16">
        <f>M849 * $Q$3</f>
        <v>1.125</v>
      </c>
      <c r="O849" s="16">
        <f>M849 * $Q$4</f>
        <v>1.5</v>
      </c>
    </row>
    <row r="850" spans="1:15">
      <c r="A850" s="2">
        <v>849</v>
      </c>
      <c r="B850" s="4">
        <f>DAY(E850)</f>
        <v>4</v>
      </c>
      <c r="C850" s="4">
        <f>MONTH(E850)</f>
        <v>5</v>
      </c>
      <c r="D850" s="4">
        <f>YEAR(E850)</f>
        <v>2023</v>
      </c>
      <c r="E850" s="3">
        <v>45050</v>
      </c>
      <c r="F850" s="4" t="s">
        <v>880</v>
      </c>
      <c r="G850" s="4" t="s">
        <v>8</v>
      </c>
      <c r="H850" s="4">
        <v>32</v>
      </c>
      <c r="I850" s="4" t="str" cm="1">
        <f t="array" ref="I850">_xlfn.IFS(H850&lt;30, "Young Adult", H850&lt;50, "Adult", H850&gt;=50, "Senior")</f>
        <v>Adult</v>
      </c>
      <c r="J850" s="4" t="s">
        <v>3</v>
      </c>
      <c r="K850" s="4">
        <v>2</v>
      </c>
      <c r="L850" s="16">
        <v>25</v>
      </c>
      <c r="M850" s="16">
        <f xml:space="preserve"> K850 * L850</f>
        <v>50</v>
      </c>
      <c r="N850" s="16">
        <f>M850 * $Q$3</f>
        <v>0.75</v>
      </c>
      <c r="O850" s="16">
        <f>M850 * $Q$4</f>
        <v>1</v>
      </c>
    </row>
    <row r="851" spans="1:15">
      <c r="A851" s="2">
        <v>850</v>
      </c>
      <c r="B851" s="4">
        <f>DAY(E851)</f>
        <v>28</v>
      </c>
      <c r="C851" s="4">
        <f>MONTH(E851)</f>
        <v>7</v>
      </c>
      <c r="D851" s="4">
        <f>YEAR(E851)</f>
        <v>2023</v>
      </c>
      <c r="E851" s="3">
        <v>45135</v>
      </c>
      <c r="F851" s="4" t="s">
        <v>881</v>
      </c>
      <c r="G851" s="4" t="s">
        <v>7</v>
      </c>
      <c r="H851" s="4">
        <v>26</v>
      </c>
      <c r="I851" s="4" t="str" cm="1">
        <f t="array" ref="I851">_xlfn.IFS(H851&lt;30, "Young Adult", H851&lt;50, "Adult", H851&gt;=50, "Senior")</f>
        <v>Young Adult</v>
      </c>
      <c r="J851" s="4" t="s">
        <v>2</v>
      </c>
      <c r="K851" s="4">
        <v>2</v>
      </c>
      <c r="L851" s="16">
        <v>500</v>
      </c>
      <c r="M851" s="16">
        <f xml:space="preserve"> K851 * L851</f>
        <v>1000</v>
      </c>
      <c r="N851" s="16">
        <f>M851 * $Q$3</f>
        <v>15</v>
      </c>
      <c r="O851" s="16">
        <f>M851 * $Q$4</f>
        <v>20</v>
      </c>
    </row>
    <row r="852" spans="1:15">
      <c r="A852" s="2">
        <v>851</v>
      </c>
      <c r="B852" s="4">
        <f>DAY(E852)</f>
        <v>8</v>
      </c>
      <c r="C852" s="4">
        <f>MONTH(E852)</f>
        <v>9</v>
      </c>
      <c r="D852" s="4">
        <f>YEAR(E852)</f>
        <v>2023</v>
      </c>
      <c r="E852" s="3">
        <v>45177</v>
      </c>
      <c r="F852" s="4" t="s">
        <v>882</v>
      </c>
      <c r="G852" s="4" t="s">
        <v>8</v>
      </c>
      <c r="H852" s="4">
        <v>32</v>
      </c>
      <c r="I852" s="4" t="str" cm="1">
        <f t="array" ref="I852">_xlfn.IFS(H852&lt;30, "Young Adult", H852&lt;50, "Adult", H852&gt;=50, "Senior")</f>
        <v>Adult</v>
      </c>
      <c r="J852" s="4" t="s">
        <v>4</v>
      </c>
      <c r="K852" s="4">
        <v>2</v>
      </c>
      <c r="L852" s="16">
        <v>25</v>
      </c>
      <c r="M852" s="16">
        <f xml:space="preserve"> K852 * L852</f>
        <v>50</v>
      </c>
      <c r="N852" s="16">
        <f>M852 * $Q$3</f>
        <v>0.75</v>
      </c>
      <c r="O852" s="16">
        <f>M852 * $Q$4</f>
        <v>1</v>
      </c>
    </row>
    <row r="853" spans="1:15">
      <c r="A853" s="2">
        <v>852</v>
      </c>
      <c r="B853" s="4">
        <f>DAY(E853)</f>
        <v>12</v>
      </c>
      <c r="C853" s="4">
        <f>MONTH(E853)</f>
        <v>10</v>
      </c>
      <c r="D853" s="4">
        <f>YEAR(E853)</f>
        <v>2023</v>
      </c>
      <c r="E853" s="3">
        <v>45211</v>
      </c>
      <c r="F853" s="4" t="s">
        <v>883</v>
      </c>
      <c r="G853" s="4" t="s">
        <v>7</v>
      </c>
      <c r="H853" s="4">
        <v>41</v>
      </c>
      <c r="I853" s="4" t="str" cm="1">
        <f t="array" ref="I853">_xlfn.IFS(H853&lt;30, "Young Adult", H853&lt;50, "Adult", H853&gt;=50, "Senior")</f>
        <v>Adult</v>
      </c>
      <c r="J853" s="4" t="s">
        <v>3</v>
      </c>
      <c r="K853" s="4">
        <v>1</v>
      </c>
      <c r="L853" s="16">
        <v>300</v>
      </c>
      <c r="M853" s="16">
        <f xml:space="preserve"> K853 * L853</f>
        <v>300</v>
      </c>
      <c r="N853" s="16">
        <f>M853 * $Q$3</f>
        <v>4.5</v>
      </c>
      <c r="O853" s="16">
        <f>M853 * $Q$4</f>
        <v>6</v>
      </c>
    </row>
    <row r="854" spans="1:15">
      <c r="A854" s="2">
        <v>853</v>
      </c>
      <c r="B854" s="4">
        <f>DAY(E854)</f>
        <v>4</v>
      </c>
      <c r="C854" s="4">
        <f>MONTH(E854)</f>
        <v>5</v>
      </c>
      <c r="D854" s="4">
        <f>YEAR(E854)</f>
        <v>2023</v>
      </c>
      <c r="E854" s="3">
        <v>45050</v>
      </c>
      <c r="F854" s="4" t="s">
        <v>884</v>
      </c>
      <c r="G854" s="4" t="s">
        <v>8</v>
      </c>
      <c r="H854" s="4">
        <v>21</v>
      </c>
      <c r="I854" s="4" t="str" cm="1">
        <f t="array" ref="I854">_xlfn.IFS(H854&lt;30, "Young Adult", H854&lt;50, "Adult", H854&gt;=50, "Senior")</f>
        <v>Young Adult</v>
      </c>
      <c r="J854" s="4" t="s">
        <v>2</v>
      </c>
      <c r="K854" s="4">
        <v>2</v>
      </c>
      <c r="L854" s="16">
        <v>500</v>
      </c>
      <c r="M854" s="16">
        <f xml:space="preserve"> K854 * L854</f>
        <v>1000</v>
      </c>
      <c r="N854" s="16">
        <f>M854 * $Q$3</f>
        <v>15</v>
      </c>
      <c r="O854" s="16">
        <f>M854 * $Q$4</f>
        <v>20</v>
      </c>
    </row>
    <row r="855" spans="1:15">
      <c r="A855" s="2">
        <v>854</v>
      </c>
      <c r="B855" s="4">
        <f>DAY(E855)</f>
        <v>20</v>
      </c>
      <c r="C855" s="4">
        <f>MONTH(E855)</f>
        <v>12</v>
      </c>
      <c r="D855" s="4">
        <f>YEAR(E855)</f>
        <v>2023</v>
      </c>
      <c r="E855" s="3">
        <v>45280</v>
      </c>
      <c r="F855" s="4" t="s">
        <v>885</v>
      </c>
      <c r="G855" s="4" t="s">
        <v>8</v>
      </c>
      <c r="H855" s="4">
        <v>29</v>
      </c>
      <c r="I855" s="4" t="str" cm="1">
        <f t="array" ref="I855">_xlfn.IFS(H855&lt;30, "Young Adult", H855&lt;50, "Adult", H855&gt;=50, "Senior")</f>
        <v>Young Adult</v>
      </c>
      <c r="J855" s="4" t="s">
        <v>3</v>
      </c>
      <c r="K855" s="4">
        <v>1</v>
      </c>
      <c r="L855" s="16">
        <v>50</v>
      </c>
      <c r="M855" s="16">
        <f xml:space="preserve"> K855 * L855</f>
        <v>50</v>
      </c>
      <c r="N855" s="16">
        <f>M855 * $Q$3</f>
        <v>0.75</v>
      </c>
      <c r="O855" s="16">
        <f>M855 * $Q$4</f>
        <v>1</v>
      </c>
    </row>
    <row r="856" spans="1:15">
      <c r="A856" s="2">
        <v>855</v>
      </c>
      <c r="B856" s="4">
        <f>DAY(E856)</f>
        <v>1</v>
      </c>
      <c r="C856" s="4">
        <f>MONTH(E856)</f>
        <v>9</v>
      </c>
      <c r="D856" s="4">
        <f>YEAR(E856)</f>
        <v>2023</v>
      </c>
      <c r="E856" s="3">
        <v>45170</v>
      </c>
      <c r="F856" s="4" t="s">
        <v>886</v>
      </c>
      <c r="G856" s="4" t="s">
        <v>8</v>
      </c>
      <c r="H856" s="4">
        <v>54</v>
      </c>
      <c r="I856" s="4" t="str" cm="1">
        <f t="array" ref="I856">_xlfn.IFS(H856&lt;30, "Young Adult", H856&lt;50, "Adult", H856&gt;=50, "Senior")</f>
        <v>Senior</v>
      </c>
      <c r="J856" s="4" t="s">
        <v>2</v>
      </c>
      <c r="K856" s="4">
        <v>1</v>
      </c>
      <c r="L856" s="16">
        <v>25</v>
      </c>
      <c r="M856" s="16">
        <f xml:space="preserve"> K856 * L856</f>
        <v>25</v>
      </c>
      <c r="N856" s="16">
        <f>M856 * $Q$3</f>
        <v>0.375</v>
      </c>
      <c r="O856" s="16">
        <f>M856 * $Q$4</f>
        <v>0.5</v>
      </c>
    </row>
    <row r="857" spans="1:15">
      <c r="A857" s="2">
        <v>856</v>
      </c>
      <c r="B857" s="4">
        <f>DAY(E857)</f>
        <v>27</v>
      </c>
      <c r="C857" s="4">
        <f>MONTH(E857)</f>
        <v>11</v>
      </c>
      <c r="D857" s="4">
        <f>YEAR(E857)</f>
        <v>2023</v>
      </c>
      <c r="E857" s="3">
        <v>45257</v>
      </c>
      <c r="F857" s="4" t="s">
        <v>887</v>
      </c>
      <c r="G857" s="4" t="s">
        <v>8</v>
      </c>
      <c r="H857" s="4">
        <v>54</v>
      </c>
      <c r="I857" s="4" t="str" cm="1">
        <f t="array" ref="I857">_xlfn.IFS(H857&lt;30, "Young Adult", H857&lt;50, "Adult", H857&gt;=50, "Senior")</f>
        <v>Senior</v>
      </c>
      <c r="J857" s="4" t="s">
        <v>4</v>
      </c>
      <c r="K857" s="4">
        <v>4</v>
      </c>
      <c r="L857" s="16">
        <v>30</v>
      </c>
      <c r="M857" s="16">
        <f xml:space="preserve"> K857 * L857</f>
        <v>120</v>
      </c>
      <c r="N857" s="16">
        <f>M857 * $Q$3</f>
        <v>1.7999999999999998</v>
      </c>
      <c r="O857" s="16">
        <f>M857 * $Q$4</f>
        <v>2.4</v>
      </c>
    </row>
    <row r="858" spans="1:15">
      <c r="A858" s="2">
        <v>857</v>
      </c>
      <c r="B858" s="4">
        <f>DAY(E858)</f>
        <v>31</v>
      </c>
      <c r="C858" s="4">
        <f>MONTH(E858)</f>
        <v>12</v>
      </c>
      <c r="D858" s="4">
        <f>YEAR(E858)</f>
        <v>2023</v>
      </c>
      <c r="E858" s="3">
        <v>45291</v>
      </c>
      <c r="F858" s="4" t="s">
        <v>888</v>
      </c>
      <c r="G858" s="4" t="s">
        <v>8</v>
      </c>
      <c r="H858" s="4">
        <v>60</v>
      </c>
      <c r="I858" s="4" t="str" cm="1">
        <f t="array" ref="I858">_xlfn.IFS(H858&lt;30, "Young Adult", H858&lt;50, "Adult", H858&gt;=50, "Senior")</f>
        <v>Senior</v>
      </c>
      <c r="J858" s="4" t="s">
        <v>4</v>
      </c>
      <c r="K858" s="4">
        <v>2</v>
      </c>
      <c r="L858" s="16">
        <v>25</v>
      </c>
      <c r="M858" s="16">
        <f xml:space="preserve"> K858 * L858</f>
        <v>50</v>
      </c>
      <c r="N858" s="16">
        <f>M858 * $Q$3</f>
        <v>0.75</v>
      </c>
      <c r="O858" s="16">
        <f>M858 * $Q$4</f>
        <v>1</v>
      </c>
    </row>
    <row r="859" spans="1:15">
      <c r="A859" s="2">
        <v>858</v>
      </c>
      <c r="B859" s="4">
        <f>DAY(E859)</f>
        <v>9</v>
      </c>
      <c r="C859" s="4">
        <f>MONTH(E859)</f>
        <v>9</v>
      </c>
      <c r="D859" s="4">
        <f>YEAR(E859)</f>
        <v>2023</v>
      </c>
      <c r="E859" s="3">
        <v>45178</v>
      </c>
      <c r="F859" s="4" t="s">
        <v>889</v>
      </c>
      <c r="G859" s="4" t="s">
        <v>8</v>
      </c>
      <c r="H859" s="4">
        <v>23</v>
      </c>
      <c r="I859" s="4" t="str" cm="1">
        <f t="array" ref="I859">_xlfn.IFS(H859&lt;30, "Young Adult", H859&lt;50, "Adult", H859&gt;=50, "Senior")</f>
        <v>Young Adult</v>
      </c>
      <c r="J859" s="4" t="s">
        <v>4</v>
      </c>
      <c r="K859" s="4">
        <v>2</v>
      </c>
      <c r="L859" s="16">
        <v>50</v>
      </c>
      <c r="M859" s="16">
        <f xml:space="preserve"> K859 * L859</f>
        <v>100</v>
      </c>
      <c r="N859" s="16">
        <f>M859 * $Q$3</f>
        <v>1.5</v>
      </c>
      <c r="O859" s="16">
        <f>M859 * $Q$4</f>
        <v>2</v>
      </c>
    </row>
    <row r="860" spans="1:15">
      <c r="A860" s="2">
        <v>859</v>
      </c>
      <c r="B860" s="4">
        <f>DAY(E860)</f>
        <v>18</v>
      </c>
      <c r="C860" s="4">
        <f>MONTH(E860)</f>
        <v>8</v>
      </c>
      <c r="D860" s="4">
        <f>YEAR(E860)</f>
        <v>2023</v>
      </c>
      <c r="E860" s="3">
        <v>45156</v>
      </c>
      <c r="F860" s="4" t="s">
        <v>890</v>
      </c>
      <c r="G860" s="4" t="s">
        <v>7</v>
      </c>
      <c r="H860" s="4">
        <v>56</v>
      </c>
      <c r="I860" s="4" t="str" cm="1">
        <f t="array" ref="I860">_xlfn.IFS(H860&lt;30, "Young Adult", H860&lt;50, "Adult", H860&gt;=50, "Senior")</f>
        <v>Senior</v>
      </c>
      <c r="J860" s="4" t="s">
        <v>4</v>
      </c>
      <c r="K860" s="4">
        <v>3</v>
      </c>
      <c r="L860" s="16">
        <v>500</v>
      </c>
      <c r="M860" s="16">
        <f xml:space="preserve"> K860 * L860</f>
        <v>1500</v>
      </c>
      <c r="N860" s="16">
        <f>M860 * $Q$3</f>
        <v>22.5</v>
      </c>
      <c r="O860" s="16">
        <f>M860 * $Q$4</f>
        <v>30</v>
      </c>
    </row>
    <row r="861" spans="1:15">
      <c r="A861" s="2">
        <v>860</v>
      </c>
      <c r="B861" s="4">
        <f>DAY(E861)</f>
        <v>9</v>
      </c>
      <c r="C861" s="4">
        <f>MONTH(E861)</f>
        <v>1</v>
      </c>
      <c r="D861" s="4">
        <f>YEAR(E861)</f>
        <v>2023</v>
      </c>
      <c r="E861" s="3">
        <v>44935</v>
      </c>
      <c r="F861" s="4" t="s">
        <v>891</v>
      </c>
      <c r="G861" s="4" t="s">
        <v>8</v>
      </c>
      <c r="H861" s="4">
        <v>63</v>
      </c>
      <c r="I861" s="4" t="str" cm="1">
        <f t="array" ref="I861">_xlfn.IFS(H861&lt;30, "Young Adult", H861&lt;50, "Adult", H861&gt;=50, "Senior")</f>
        <v>Senior</v>
      </c>
      <c r="J861" s="4" t="s">
        <v>3</v>
      </c>
      <c r="K861" s="4">
        <v>4</v>
      </c>
      <c r="L861" s="16">
        <v>50</v>
      </c>
      <c r="M861" s="16">
        <f xml:space="preserve"> K861 * L861</f>
        <v>200</v>
      </c>
      <c r="N861" s="16">
        <f>M861 * $Q$3</f>
        <v>3</v>
      </c>
      <c r="O861" s="16">
        <f>M861 * $Q$4</f>
        <v>4</v>
      </c>
    </row>
    <row r="862" spans="1:15">
      <c r="A862" s="2">
        <v>861</v>
      </c>
      <c r="B862" s="4">
        <f>DAY(E862)</f>
        <v>17</v>
      </c>
      <c r="C862" s="4">
        <f>MONTH(E862)</f>
        <v>2</v>
      </c>
      <c r="D862" s="4">
        <f>YEAR(E862)</f>
        <v>2023</v>
      </c>
      <c r="E862" s="3">
        <v>44974</v>
      </c>
      <c r="F862" s="4" t="s">
        <v>892</v>
      </c>
      <c r="G862" s="4" t="s">
        <v>7</v>
      </c>
      <c r="H862" s="4">
        <v>41</v>
      </c>
      <c r="I862" s="4" t="str" cm="1">
        <f t="array" ref="I862">_xlfn.IFS(H862&lt;30, "Young Adult", H862&lt;50, "Adult", H862&gt;=50, "Senior")</f>
        <v>Adult</v>
      </c>
      <c r="J862" s="4" t="s">
        <v>3</v>
      </c>
      <c r="K862" s="4">
        <v>3</v>
      </c>
      <c r="L862" s="16">
        <v>30</v>
      </c>
      <c r="M862" s="16">
        <f xml:space="preserve"> K862 * L862</f>
        <v>90</v>
      </c>
      <c r="N862" s="16">
        <f>M862 * $Q$3</f>
        <v>1.3499999999999999</v>
      </c>
      <c r="O862" s="16">
        <f>M862 * $Q$4</f>
        <v>1.8</v>
      </c>
    </row>
    <row r="863" spans="1:15">
      <c r="A863" s="2">
        <v>862</v>
      </c>
      <c r="B863" s="4">
        <f>DAY(E863)</f>
        <v>31</v>
      </c>
      <c r="C863" s="4">
        <f>MONTH(E863)</f>
        <v>5</v>
      </c>
      <c r="D863" s="4">
        <f>YEAR(E863)</f>
        <v>2023</v>
      </c>
      <c r="E863" s="3">
        <v>45077</v>
      </c>
      <c r="F863" s="4" t="s">
        <v>893</v>
      </c>
      <c r="G863" s="4" t="s">
        <v>8</v>
      </c>
      <c r="H863" s="4">
        <v>28</v>
      </c>
      <c r="I863" s="4" t="str" cm="1">
        <f t="array" ref="I863">_xlfn.IFS(H863&lt;30, "Young Adult", H863&lt;50, "Adult", H863&gt;=50, "Senior")</f>
        <v>Young Adult</v>
      </c>
      <c r="J863" s="4" t="s">
        <v>4</v>
      </c>
      <c r="K863" s="4">
        <v>4</v>
      </c>
      <c r="L863" s="16">
        <v>300</v>
      </c>
      <c r="M863" s="16">
        <f xml:space="preserve"> K863 * L863</f>
        <v>1200</v>
      </c>
      <c r="N863" s="16">
        <f>M863 * $Q$3</f>
        <v>18</v>
      </c>
      <c r="O863" s="16">
        <f>M863 * $Q$4</f>
        <v>24</v>
      </c>
    </row>
    <row r="864" spans="1:15">
      <c r="A864" s="2">
        <v>863</v>
      </c>
      <c r="B864" s="4">
        <f>DAY(E864)</f>
        <v>24</v>
      </c>
      <c r="C864" s="4">
        <f>MONTH(E864)</f>
        <v>4</v>
      </c>
      <c r="D864" s="4">
        <f>YEAR(E864)</f>
        <v>2023</v>
      </c>
      <c r="E864" s="3">
        <v>45040</v>
      </c>
      <c r="F864" s="4" t="s">
        <v>894</v>
      </c>
      <c r="G864" s="4" t="s">
        <v>7</v>
      </c>
      <c r="H864" s="4">
        <v>30</v>
      </c>
      <c r="I864" s="4" t="str" cm="1">
        <f t="array" ref="I864">_xlfn.IFS(H864&lt;30, "Young Adult", H864&lt;50, "Adult", H864&gt;=50, "Senior")</f>
        <v>Adult</v>
      </c>
      <c r="J864" s="4" t="s">
        <v>4</v>
      </c>
      <c r="K864" s="4">
        <v>2</v>
      </c>
      <c r="L864" s="16">
        <v>25</v>
      </c>
      <c r="M864" s="16">
        <f xml:space="preserve"> K864 * L864</f>
        <v>50</v>
      </c>
      <c r="N864" s="16">
        <f>M864 * $Q$3</f>
        <v>0.75</v>
      </c>
      <c r="O864" s="16">
        <f>M864 * $Q$4</f>
        <v>1</v>
      </c>
    </row>
    <row r="865" spans="1:15">
      <c r="A865" s="2">
        <v>864</v>
      </c>
      <c r="B865" s="4">
        <f>DAY(E865)</f>
        <v>27</v>
      </c>
      <c r="C865" s="4">
        <f>MONTH(E865)</f>
        <v>7</v>
      </c>
      <c r="D865" s="4">
        <f>YEAR(E865)</f>
        <v>2023</v>
      </c>
      <c r="E865" s="3">
        <v>45134</v>
      </c>
      <c r="F865" s="4" t="s">
        <v>895</v>
      </c>
      <c r="G865" s="4" t="s">
        <v>7</v>
      </c>
      <c r="H865" s="4">
        <v>51</v>
      </c>
      <c r="I865" s="4" t="str" cm="1">
        <f t="array" ref="I865">_xlfn.IFS(H865&lt;30, "Young Adult", H865&lt;50, "Adult", H865&gt;=50, "Senior")</f>
        <v>Senior</v>
      </c>
      <c r="J865" s="4" t="s">
        <v>4</v>
      </c>
      <c r="K865" s="4">
        <v>1</v>
      </c>
      <c r="L865" s="16">
        <v>500</v>
      </c>
      <c r="M865" s="16">
        <f xml:space="preserve"> K865 * L865</f>
        <v>500</v>
      </c>
      <c r="N865" s="16">
        <f>M865 * $Q$3</f>
        <v>7.5</v>
      </c>
      <c r="O865" s="16">
        <f>M865 * $Q$4</f>
        <v>10</v>
      </c>
    </row>
    <row r="866" spans="1:15">
      <c r="A866" s="2">
        <v>865</v>
      </c>
      <c r="B866" s="4">
        <f>DAY(E866)</f>
        <v>21</v>
      </c>
      <c r="C866" s="4">
        <f>MONTH(E866)</f>
        <v>12</v>
      </c>
      <c r="D866" s="4">
        <f>YEAR(E866)</f>
        <v>2023</v>
      </c>
      <c r="E866" s="3">
        <v>45281</v>
      </c>
      <c r="F866" s="4" t="s">
        <v>896</v>
      </c>
      <c r="G866" s="4" t="s">
        <v>7</v>
      </c>
      <c r="H866" s="4">
        <v>42</v>
      </c>
      <c r="I866" s="4" t="str" cm="1">
        <f t="array" ref="I866">_xlfn.IFS(H866&lt;30, "Young Adult", H866&lt;50, "Adult", H866&gt;=50, "Senior")</f>
        <v>Adult</v>
      </c>
      <c r="J866" s="4" t="s">
        <v>3</v>
      </c>
      <c r="K866" s="4">
        <v>1</v>
      </c>
      <c r="L866" s="16">
        <v>300</v>
      </c>
      <c r="M866" s="16">
        <f xml:space="preserve"> K866 * L866</f>
        <v>300</v>
      </c>
      <c r="N866" s="16">
        <f>M866 * $Q$3</f>
        <v>4.5</v>
      </c>
      <c r="O866" s="16">
        <f>M866 * $Q$4</f>
        <v>6</v>
      </c>
    </row>
    <row r="867" spans="1:15">
      <c r="A867" s="2">
        <v>866</v>
      </c>
      <c r="B867" s="4">
        <f>DAY(E867)</f>
        <v>5</v>
      </c>
      <c r="C867" s="4">
        <f>MONTH(E867)</f>
        <v>5</v>
      </c>
      <c r="D867" s="4">
        <f>YEAR(E867)</f>
        <v>2023</v>
      </c>
      <c r="E867" s="3">
        <v>45051</v>
      </c>
      <c r="F867" s="4" t="s">
        <v>897</v>
      </c>
      <c r="G867" s="4" t="s">
        <v>8</v>
      </c>
      <c r="H867" s="4">
        <v>24</v>
      </c>
      <c r="I867" s="4" t="str" cm="1">
        <f t="array" ref="I867">_xlfn.IFS(H867&lt;30, "Young Adult", H867&lt;50, "Adult", H867&gt;=50, "Senior")</f>
        <v>Young Adult</v>
      </c>
      <c r="J867" s="4" t="s">
        <v>4</v>
      </c>
      <c r="K867" s="4">
        <v>1</v>
      </c>
      <c r="L867" s="16">
        <v>50</v>
      </c>
      <c r="M867" s="16">
        <f xml:space="preserve"> K867 * L867</f>
        <v>50</v>
      </c>
      <c r="N867" s="16">
        <f>M867 * $Q$3</f>
        <v>0.75</v>
      </c>
      <c r="O867" s="16">
        <f>M867 * $Q$4</f>
        <v>1</v>
      </c>
    </row>
    <row r="868" spans="1:15">
      <c r="A868" s="2">
        <v>867</v>
      </c>
      <c r="B868" s="4">
        <f>DAY(E868)</f>
        <v>6</v>
      </c>
      <c r="C868" s="4">
        <f>MONTH(E868)</f>
        <v>6</v>
      </c>
      <c r="D868" s="4">
        <f>YEAR(E868)</f>
        <v>2023</v>
      </c>
      <c r="E868" s="3">
        <v>45083</v>
      </c>
      <c r="F868" s="4" t="s">
        <v>898</v>
      </c>
      <c r="G868" s="4" t="s">
        <v>8</v>
      </c>
      <c r="H868" s="4">
        <v>21</v>
      </c>
      <c r="I868" s="4" t="str" cm="1">
        <f t="array" ref="I868">_xlfn.IFS(H868&lt;30, "Young Adult", H868&lt;50, "Adult", H868&gt;=50, "Senior")</f>
        <v>Young Adult</v>
      </c>
      <c r="J868" s="4" t="s">
        <v>4</v>
      </c>
      <c r="K868" s="4">
        <v>1</v>
      </c>
      <c r="L868" s="16">
        <v>500</v>
      </c>
      <c r="M868" s="16">
        <f xml:space="preserve"> K868 * L868</f>
        <v>500</v>
      </c>
      <c r="N868" s="16">
        <f>M868 * $Q$3</f>
        <v>7.5</v>
      </c>
      <c r="O868" s="16">
        <f>M868 * $Q$4</f>
        <v>10</v>
      </c>
    </row>
    <row r="869" spans="1:15">
      <c r="A869" s="2">
        <v>868</v>
      </c>
      <c r="B869" s="4">
        <f>DAY(E869)</f>
        <v>6</v>
      </c>
      <c r="C869" s="4">
        <f>MONTH(E869)</f>
        <v>12</v>
      </c>
      <c r="D869" s="4">
        <f>YEAR(E869)</f>
        <v>2023</v>
      </c>
      <c r="E869" s="3">
        <v>45266</v>
      </c>
      <c r="F869" s="4" t="s">
        <v>899</v>
      </c>
      <c r="G869" s="4" t="s">
        <v>7</v>
      </c>
      <c r="H869" s="4">
        <v>25</v>
      </c>
      <c r="I869" s="4" t="str" cm="1">
        <f t="array" ref="I869">_xlfn.IFS(H869&lt;30, "Young Adult", H869&lt;50, "Adult", H869&gt;=50, "Senior")</f>
        <v>Young Adult</v>
      </c>
      <c r="J869" s="4" t="s">
        <v>4</v>
      </c>
      <c r="K869" s="4">
        <v>1</v>
      </c>
      <c r="L869" s="16">
        <v>300</v>
      </c>
      <c r="M869" s="16">
        <f xml:space="preserve"> K869 * L869</f>
        <v>300</v>
      </c>
      <c r="N869" s="16">
        <f>M869 * $Q$3</f>
        <v>4.5</v>
      </c>
      <c r="O869" s="16">
        <f>M869 * $Q$4</f>
        <v>6</v>
      </c>
    </row>
    <row r="870" spans="1:15">
      <c r="A870" s="2">
        <v>869</v>
      </c>
      <c r="B870" s="4">
        <f>DAY(E870)</f>
        <v>25</v>
      </c>
      <c r="C870" s="4">
        <f>MONTH(E870)</f>
        <v>10</v>
      </c>
      <c r="D870" s="4">
        <f>YEAR(E870)</f>
        <v>2023</v>
      </c>
      <c r="E870" s="3">
        <v>45224</v>
      </c>
      <c r="F870" s="4" t="s">
        <v>900</v>
      </c>
      <c r="G870" s="4" t="s">
        <v>8</v>
      </c>
      <c r="H870" s="4">
        <v>37</v>
      </c>
      <c r="I870" s="4" t="str" cm="1">
        <f t="array" ref="I870">_xlfn.IFS(H870&lt;30, "Young Adult", H870&lt;50, "Adult", H870&gt;=50, "Senior")</f>
        <v>Adult</v>
      </c>
      <c r="J870" s="4" t="s">
        <v>2</v>
      </c>
      <c r="K870" s="4">
        <v>3</v>
      </c>
      <c r="L870" s="16">
        <v>500</v>
      </c>
      <c r="M870" s="16">
        <f xml:space="preserve"> K870 * L870</f>
        <v>1500</v>
      </c>
      <c r="N870" s="16">
        <f>M870 * $Q$3</f>
        <v>22.5</v>
      </c>
      <c r="O870" s="16">
        <f>M870 * $Q$4</f>
        <v>30</v>
      </c>
    </row>
    <row r="871" spans="1:15">
      <c r="A871" s="2">
        <v>870</v>
      </c>
      <c r="B871" s="4">
        <f>DAY(E871)</f>
        <v>8</v>
      </c>
      <c r="C871" s="4">
        <f>MONTH(E871)</f>
        <v>7</v>
      </c>
      <c r="D871" s="4">
        <f>YEAR(E871)</f>
        <v>2023</v>
      </c>
      <c r="E871" s="3">
        <v>45115</v>
      </c>
      <c r="F871" s="4" t="s">
        <v>901</v>
      </c>
      <c r="G871" s="4" t="s">
        <v>7</v>
      </c>
      <c r="H871" s="4">
        <v>46</v>
      </c>
      <c r="I871" s="4" t="str" cm="1">
        <f t="array" ref="I871">_xlfn.IFS(H871&lt;30, "Young Adult", H871&lt;50, "Adult", H871&gt;=50, "Senior")</f>
        <v>Adult</v>
      </c>
      <c r="J871" s="4" t="s">
        <v>4</v>
      </c>
      <c r="K871" s="4">
        <v>4</v>
      </c>
      <c r="L871" s="16">
        <v>30</v>
      </c>
      <c r="M871" s="16">
        <f xml:space="preserve"> K871 * L871</f>
        <v>120</v>
      </c>
      <c r="N871" s="16">
        <f>M871 * $Q$3</f>
        <v>1.7999999999999998</v>
      </c>
      <c r="O871" s="16">
        <f>M871 * $Q$4</f>
        <v>2.4</v>
      </c>
    </row>
    <row r="872" spans="1:15">
      <c r="A872" s="2">
        <v>871</v>
      </c>
      <c r="B872" s="4">
        <f>DAY(E872)</f>
        <v>31</v>
      </c>
      <c r="C872" s="4">
        <f>MONTH(E872)</f>
        <v>8</v>
      </c>
      <c r="D872" s="4">
        <f>YEAR(E872)</f>
        <v>2023</v>
      </c>
      <c r="E872" s="3">
        <v>45169</v>
      </c>
      <c r="F872" s="4" t="s">
        <v>902</v>
      </c>
      <c r="G872" s="4" t="s">
        <v>8</v>
      </c>
      <c r="H872" s="4">
        <v>62</v>
      </c>
      <c r="I872" s="4" t="str" cm="1">
        <f t="array" ref="I872">_xlfn.IFS(H872&lt;30, "Young Adult", H872&lt;50, "Adult", H872&gt;=50, "Senior")</f>
        <v>Senior</v>
      </c>
      <c r="J872" s="4" t="s">
        <v>2</v>
      </c>
      <c r="K872" s="4">
        <v>2</v>
      </c>
      <c r="L872" s="16">
        <v>30</v>
      </c>
      <c r="M872" s="16">
        <f xml:space="preserve"> K872 * L872</f>
        <v>60</v>
      </c>
      <c r="N872" s="16">
        <f>M872 * $Q$3</f>
        <v>0.89999999999999991</v>
      </c>
      <c r="O872" s="16">
        <f>M872 * $Q$4</f>
        <v>1.2</v>
      </c>
    </row>
    <row r="873" spans="1:15">
      <c r="A873" s="2">
        <v>872</v>
      </c>
      <c r="B873" s="4">
        <f>DAY(E873)</f>
        <v>11</v>
      </c>
      <c r="C873" s="4">
        <f>MONTH(E873)</f>
        <v>10</v>
      </c>
      <c r="D873" s="4">
        <f>YEAR(E873)</f>
        <v>2023</v>
      </c>
      <c r="E873" s="3">
        <v>45210</v>
      </c>
      <c r="F873" s="4" t="s">
        <v>903</v>
      </c>
      <c r="G873" s="4" t="s">
        <v>7</v>
      </c>
      <c r="H873" s="4">
        <v>63</v>
      </c>
      <c r="I873" s="4" t="str" cm="1">
        <f t="array" ref="I873">_xlfn.IFS(H873&lt;30, "Young Adult", H873&lt;50, "Adult", H873&gt;=50, "Senior")</f>
        <v>Senior</v>
      </c>
      <c r="J873" s="4" t="s">
        <v>2</v>
      </c>
      <c r="K873" s="4">
        <v>3</v>
      </c>
      <c r="L873" s="16">
        <v>25</v>
      </c>
      <c r="M873" s="16">
        <f xml:space="preserve"> K873 * L873</f>
        <v>75</v>
      </c>
      <c r="N873" s="16">
        <f>M873 * $Q$3</f>
        <v>1.125</v>
      </c>
      <c r="O873" s="16">
        <f>M873 * $Q$4</f>
        <v>1.5</v>
      </c>
    </row>
    <row r="874" spans="1:15">
      <c r="A874" s="2">
        <v>873</v>
      </c>
      <c r="B874" s="4">
        <f>DAY(E874)</f>
        <v>29</v>
      </c>
      <c r="C874" s="4">
        <f>MONTH(E874)</f>
        <v>9</v>
      </c>
      <c r="D874" s="4">
        <f>YEAR(E874)</f>
        <v>2023</v>
      </c>
      <c r="E874" s="3">
        <v>45198</v>
      </c>
      <c r="F874" s="4" t="s">
        <v>904</v>
      </c>
      <c r="G874" s="4" t="s">
        <v>7</v>
      </c>
      <c r="H874" s="4">
        <v>27</v>
      </c>
      <c r="I874" s="4" t="str" cm="1">
        <f t="array" ref="I874">_xlfn.IFS(H874&lt;30, "Young Adult", H874&lt;50, "Adult", H874&gt;=50, "Senior")</f>
        <v>Young Adult</v>
      </c>
      <c r="J874" s="4" t="s">
        <v>4</v>
      </c>
      <c r="K874" s="4">
        <v>4</v>
      </c>
      <c r="L874" s="16">
        <v>25</v>
      </c>
      <c r="M874" s="16">
        <f xml:space="preserve"> K874 * L874</f>
        <v>100</v>
      </c>
      <c r="N874" s="16">
        <f>M874 * $Q$3</f>
        <v>1.5</v>
      </c>
      <c r="O874" s="16">
        <f>M874 * $Q$4</f>
        <v>2</v>
      </c>
    </row>
    <row r="875" spans="1:15">
      <c r="A875" s="2">
        <v>874</v>
      </c>
      <c r="B875" s="4">
        <f>DAY(E875)</f>
        <v>26</v>
      </c>
      <c r="C875" s="4">
        <f>MONTH(E875)</f>
        <v>6</v>
      </c>
      <c r="D875" s="4">
        <f>YEAR(E875)</f>
        <v>2023</v>
      </c>
      <c r="E875" s="3">
        <v>45103</v>
      </c>
      <c r="F875" s="4" t="s">
        <v>905</v>
      </c>
      <c r="G875" s="4" t="s">
        <v>8</v>
      </c>
      <c r="H875" s="4">
        <v>60</v>
      </c>
      <c r="I875" s="4" t="str" cm="1">
        <f t="array" ref="I875">_xlfn.IFS(H875&lt;30, "Young Adult", H875&lt;50, "Adult", H875&gt;=50, "Senior")</f>
        <v>Senior</v>
      </c>
      <c r="J875" s="4" t="s">
        <v>2</v>
      </c>
      <c r="K875" s="4">
        <v>1</v>
      </c>
      <c r="L875" s="16">
        <v>30</v>
      </c>
      <c r="M875" s="16">
        <f xml:space="preserve"> K875 * L875</f>
        <v>30</v>
      </c>
      <c r="N875" s="16">
        <f>M875 * $Q$3</f>
        <v>0.44999999999999996</v>
      </c>
      <c r="O875" s="16">
        <f>M875 * $Q$4</f>
        <v>0.6</v>
      </c>
    </row>
    <row r="876" spans="1:15">
      <c r="A876" s="2">
        <v>875</v>
      </c>
      <c r="B876" s="4">
        <f>DAY(E876)</f>
        <v>6</v>
      </c>
      <c r="C876" s="4">
        <f>MONTH(E876)</f>
        <v>8</v>
      </c>
      <c r="D876" s="4">
        <f>YEAR(E876)</f>
        <v>2023</v>
      </c>
      <c r="E876" s="3">
        <v>45144</v>
      </c>
      <c r="F876" s="4" t="s">
        <v>906</v>
      </c>
      <c r="G876" s="4" t="s">
        <v>7</v>
      </c>
      <c r="H876" s="4">
        <v>51</v>
      </c>
      <c r="I876" s="4" t="str" cm="1">
        <f t="array" ref="I876">_xlfn.IFS(H876&lt;30, "Young Adult", H876&lt;50, "Adult", H876&gt;=50, "Senior")</f>
        <v>Senior</v>
      </c>
      <c r="J876" s="4" t="s">
        <v>4</v>
      </c>
      <c r="K876" s="4">
        <v>4</v>
      </c>
      <c r="L876" s="16">
        <v>500</v>
      </c>
      <c r="M876" s="16">
        <f xml:space="preserve"> K876 * L876</f>
        <v>2000</v>
      </c>
      <c r="N876" s="16">
        <f>M876 * $Q$3</f>
        <v>30</v>
      </c>
      <c r="O876" s="16">
        <f>M876 * $Q$4</f>
        <v>40</v>
      </c>
    </row>
    <row r="877" spans="1:15">
      <c r="A877" s="2">
        <v>876</v>
      </c>
      <c r="B877" s="4">
        <f>DAY(E877)</f>
        <v>9</v>
      </c>
      <c r="C877" s="4">
        <f>MONTH(E877)</f>
        <v>10</v>
      </c>
      <c r="D877" s="4">
        <f>YEAR(E877)</f>
        <v>2023</v>
      </c>
      <c r="E877" s="3">
        <v>45208</v>
      </c>
      <c r="F877" s="4" t="s">
        <v>907</v>
      </c>
      <c r="G877" s="4" t="s">
        <v>8</v>
      </c>
      <c r="H877" s="4">
        <v>43</v>
      </c>
      <c r="I877" s="4" t="str" cm="1">
        <f t="array" ref="I877">_xlfn.IFS(H877&lt;30, "Young Adult", H877&lt;50, "Adult", H877&gt;=50, "Senior")</f>
        <v>Adult</v>
      </c>
      <c r="J877" s="4" t="s">
        <v>3</v>
      </c>
      <c r="K877" s="4">
        <v>4</v>
      </c>
      <c r="L877" s="16">
        <v>30</v>
      </c>
      <c r="M877" s="16">
        <f xml:space="preserve"> K877 * L877</f>
        <v>120</v>
      </c>
      <c r="N877" s="16">
        <f>M877 * $Q$3</f>
        <v>1.7999999999999998</v>
      </c>
      <c r="O877" s="16">
        <f>M877 * $Q$4</f>
        <v>2.4</v>
      </c>
    </row>
    <row r="878" spans="1:15">
      <c r="A878" s="2">
        <v>877</v>
      </c>
      <c r="B878" s="4">
        <f>DAY(E878)</f>
        <v>19</v>
      </c>
      <c r="C878" s="4">
        <f>MONTH(E878)</f>
        <v>6</v>
      </c>
      <c r="D878" s="4">
        <f>YEAR(E878)</f>
        <v>2023</v>
      </c>
      <c r="E878" s="3">
        <v>45096</v>
      </c>
      <c r="F878" s="4" t="s">
        <v>908</v>
      </c>
      <c r="G878" s="4" t="s">
        <v>7</v>
      </c>
      <c r="H878" s="4">
        <v>58</v>
      </c>
      <c r="I878" s="4" t="str" cm="1">
        <f t="array" ref="I878">_xlfn.IFS(H878&lt;30, "Young Adult", H878&lt;50, "Adult", H878&gt;=50, "Senior")</f>
        <v>Senior</v>
      </c>
      <c r="J878" s="4" t="s">
        <v>3</v>
      </c>
      <c r="K878" s="4">
        <v>1</v>
      </c>
      <c r="L878" s="16">
        <v>25</v>
      </c>
      <c r="M878" s="16">
        <f xml:space="preserve"> K878 * L878</f>
        <v>25</v>
      </c>
      <c r="N878" s="16">
        <f>M878 * $Q$3</f>
        <v>0.375</v>
      </c>
      <c r="O878" s="16">
        <f>M878 * $Q$4</f>
        <v>0.5</v>
      </c>
    </row>
    <row r="879" spans="1:15">
      <c r="A879" s="2">
        <v>878</v>
      </c>
      <c r="B879" s="4">
        <f>DAY(E879)</f>
        <v>30</v>
      </c>
      <c r="C879" s="4">
        <f>MONTH(E879)</f>
        <v>6</v>
      </c>
      <c r="D879" s="4">
        <f>YEAR(E879)</f>
        <v>2023</v>
      </c>
      <c r="E879" s="3">
        <v>45107</v>
      </c>
      <c r="F879" s="4" t="s">
        <v>909</v>
      </c>
      <c r="G879" s="4" t="s">
        <v>7</v>
      </c>
      <c r="H879" s="4">
        <v>20</v>
      </c>
      <c r="I879" s="4" t="str" cm="1">
        <f t="array" ref="I879">_xlfn.IFS(H879&lt;30, "Young Adult", H879&lt;50, "Adult", H879&gt;=50, "Senior")</f>
        <v>Young Adult</v>
      </c>
      <c r="J879" s="4" t="s">
        <v>3</v>
      </c>
      <c r="K879" s="4">
        <v>1</v>
      </c>
      <c r="L879" s="16">
        <v>30</v>
      </c>
      <c r="M879" s="16">
        <f xml:space="preserve"> K879 * L879</f>
        <v>30</v>
      </c>
      <c r="N879" s="16">
        <f>M879 * $Q$3</f>
        <v>0.44999999999999996</v>
      </c>
      <c r="O879" s="16">
        <f>M879 * $Q$4</f>
        <v>0.6</v>
      </c>
    </row>
    <row r="880" spans="1:15">
      <c r="A880" s="2">
        <v>879</v>
      </c>
      <c r="B880" s="4">
        <f>DAY(E880)</f>
        <v>26</v>
      </c>
      <c r="C880" s="4">
        <f>MONTH(E880)</f>
        <v>12</v>
      </c>
      <c r="D880" s="4">
        <f>YEAR(E880)</f>
        <v>2023</v>
      </c>
      <c r="E880" s="3">
        <v>45286</v>
      </c>
      <c r="F880" s="4" t="s">
        <v>910</v>
      </c>
      <c r="G880" s="4" t="s">
        <v>8</v>
      </c>
      <c r="H880" s="4">
        <v>23</v>
      </c>
      <c r="I880" s="4" t="str" cm="1">
        <f t="array" ref="I880">_xlfn.IFS(H880&lt;30, "Young Adult", H880&lt;50, "Adult", H880&gt;=50, "Senior")</f>
        <v>Young Adult</v>
      </c>
      <c r="J880" s="4" t="s">
        <v>3</v>
      </c>
      <c r="K880" s="4">
        <v>1</v>
      </c>
      <c r="L880" s="16">
        <v>30</v>
      </c>
      <c r="M880" s="16">
        <f xml:space="preserve"> K880 * L880</f>
        <v>30</v>
      </c>
      <c r="N880" s="16">
        <f>M880 * $Q$3</f>
        <v>0.44999999999999996</v>
      </c>
      <c r="O880" s="16">
        <f>M880 * $Q$4</f>
        <v>0.6</v>
      </c>
    </row>
    <row r="881" spans="1:15">
      <c r="A881" s="2">
        <v>880</v>
      </c>
      <c r="B881" s="4">
        <f>DAY(E881)</f>
        <v>21</v>
      </c>
      <c r="C881" s="4">
        <f>MONTH(E881)</f>
        <v>8</v>
      </c>
      <c r="D881" s="4">
        <f>YEAR(E881)</f>
        <v>2023</v>
      </c>
      <c r="E881" s="3">
        <v>45159</v>
      </c>
      <c r="F881" s="4" t="s">
        <v>911</v>
      </c>
      <c r="G881" s="4" t="s">
        <v>8</v>
      </c>
      <c r="H881" s="4">
        <v>22</v>
      </c>
      <c r="I881" s="4" t="str" cm="1">
        <f t="array" ref="I881">_xlfn.IFS(H881&lt;30, "Young Adult", H881&lt;50, "Adult", H881&gt;=50, "Senior")</f>
        <v>Young Adult</v>
      </c>
      <c r="J881" s="4" t="s">
        <v>2</v>
      </c>
      <c r="K881" s="4">
        <v>2</v>
      </c>
      <c r="L881" s="16">
        <v>500</v>
      </c>
      <c r="M881" s="16">
        <f xml:space="preserve"> K881 * L881</f>
        <v>1000</v>
      </c>
      <c r="N881" s="16">
        <f>M881 * $Q$3</f>
        <v>15</v>
      </c>
      <c r="O881" s="16">
        <f>M881 * $Q$4</f>
        <v>20</v>
      </c>
    </row>
    <row r="882" spans="1:15">
      <c r="A882" s="2">
        <v>881</v>
      </c>
      <c r="B882" s="4">
        <f>DAY(E882)</f>
        <v>19</v>
      </c>
      <c r="C882" s="4">
        <f>MONTH(E882)</f>
        <v>5</v>
      </c>
      <c r="D882" s="4">
        <f>YEAR(E882)</f>
        <v>2023</v>
      </c>
      <c r="E882" s="3">
        <v>45065</v>
      </c>
      <c r="F882" s="4" t="s">
        <v>912</v>
      </c>
      <c r="G882" s="4" t="s">
        <v>8</v>
      </c>
      <c r="H882" s="4">
        <v>22</v>
      </c>
      <c r="I882" s="4" t="str" cm="1">
        <f t="array" ref="I882">_xlfn.IFS(H882&lt;30, "Young Adult", H882&lt;50, "Adult", H882&gt;=50, "Senior")</f>
        <v>Young Adult</v>
      </c>
      <c r="J882" s="4" t="s">
        <v>4</v>
      </c>
      <c r="K882" s="4">
        <v>1</v>
      </c>
      <c r="L882" s="16">
        <v>300</v>
      </c>
      <c r="M882" s="16">
        <f xml:space="preserve"> K882 * L882</f>
        <v>300</v>
      </c>
      <c r="N882" s="16">
        <f>M882 * $Q$3</f>
        <v>4.5</v>
      </c>
      <c r="O882" s="16">
        <f>M882 * $Q$4</f>
        <v>6</v>
      </c>
    </row>
    <row r="883" spans="1:15">
      <c r="A883" s="2">
        <v>882</v>
      </c>
      <c r="B883" s="4">
        <f>DAY(E883)</f>
        <v>6</v>
      </c>
      <c r="C883" s="4">
        <f>MONTH(E883)</f>
        <v>6</v>
      </c>
      <c r="D883" s="4">
        <f>YEAR(E883)</f>
        <v>2023</v>
      </c>
      <c r="E883" s="3">
        <v>45083</v>
      </c>
      <c r="F883" s="4" t="s">
        <v>913</v>
      </c>
      <c r="G883" s="4" t="s">
        <v>7</v>
      </c>
      <c r="H883" s="4">
        <v>64</v>
      </c>
      <c r="I883" s="4" t="str" cm="1">
        <f t="array" ref="I883">_xlfn.IFS(H883&lt;30, "Young Adult", H883&lt;50, "Adult", H883&gt;=50, "Senior")</f>
        <v>Senior</v>
      </c>
      <c r="J883" s="4" t="s">
        <v>4</v>
      </c>
      <c r="K883" s="4">
        <v>2</v>
      </c>
      <c r="L883" s="16">
        <v>25</v>
      </c>
      <c r="M883" s="16">
        <f xml:space="preserve"> K883 * L883</f>
        <v>50</v>
      </c>
      <c r="N883" s="16">
        <f>M883 * $Q$3</f>
        <v>0.75</v>
      </c>
      <c r="O883" s="16">
        <f>M883 * $Q$4</f>
        <v>1</v>
      </c>
    </row>
    <row r="884" spans="1:15">
      <c r="A884" s="2">
        <v>883</v>
      </c>
      <c r="B884" s="4">
        <f>DAY(E884)</f>
        <v>9</v>
      </c>
      <c r="C884" s="4">
        <f>MONTH(E884)</f>
        <v>5</v>
      </c>
      <c r="D884" s="4">
        <f>YEAR(E884)</f>
        <v>2023</v>
      </c>
      <c r="E884" s="3">
        <v>45055</v>
      </c>
      <c r="F884" s="4" t="s">
        <v>914</v>
      </c>
      <c r="G884" s="4" t="s">
        <v>8</v>
      </c>
      <c r="H884" s="4">
        <v>40</v>
      </c>
      <c r="I884" s="4" t="str" cm="1">
        <f t="array" ref="I884">_xlfn.IFS(H884&lt;30, "Young Adult", H884&lt;50, "Adult", H884&gt;=50, "Senior")</f>
        <v>Adult</v>
      </c>
      <c r="J884" s="4" t="s">
        <v>4</v>
      </c>
      <c r="K884" s="4">
        <v>1</v>
      </c>
      <c r="L884" s="16">
        <v>500</v>
      </c>
      <c r="M884" s="16">
        <f xml:space="preserve"> K884 * L884</f>
        <v>500</v>
      </c>
      <c r="N884" s="16">
        <f>M884 * $Q$3</f>
        <v>7.5</v>
      </c>
      <c r="O884" s="16">
        <f>M884 * $Q$4</f>
        <v>10</v>
      </c>
    </row>
    <row r="885" spans="1:15">
      <c r="A885" s="2">
        <v>884</v>
      </c>
      <c r="B885" s="4">
        <f>DAY(E885)</f>
        <v>29</v>
      </c>
      <c r="C885" s="4">
        <f>MONTH(E885)</f>
        <v>4</v>
      </c>
      <c r="D885" s="4">
        <f>YEAR(E885)</f>
        <v>2023</v>
      </c>
      <c r="E885" s="3">
        <v>45045</v>
      </c>
      <c r="F885" s="4" t="s">
        <v>915</v>
      </c>
      <c r="G885" s="4" t="s">
        <v>7</v>
      </c>
      <c r="H885" s="4">
        <v>26</v>
      </c>
      <c r="I885" s="4" t="str" cm="1">
        <f t="array" ref="I885">_xlfn.IFS(H885&lt;30, "Young Adult", H885&lt;50, "Adult", H885&gt;=50, "Senior")</f>
        <v>Young Adult</v>
      </c>
      <c r="J885" s="4" t="s">
        <v>3</v>
      </c>
      <c r="K885" s="4">
        <v>2</v>
      </c>
      <c r="L885" s="16">
        <v>30</v>
      </c>
      <c r="M885" s="16">
        <f xml:space="preserve"> K885 * L885</f>
        <v>60</v>
      </c>
      <c r="N885" s="16">
        <f>M885 * $Q$3</f>
        <v>0.89999999999999991</v>
      </c>
      <c r="O885" s="16">
        <f>M885 * $Q$4</f>
        <v>1.2</v>
      </c>
    </row>
    <row r="886" spans="1:15">
      <c r="A886" s="2">
        <v>885</v>
      </c>
      <c r="B886" s="4">
        <f>DAY(E886)</f>
        <v>3</v>
      </c>
      <c r="C886" s="4">
        <f>MONTH(E886)</f>
        <v>3</v>
      </c>
      <c r="D886" s="4">
        <f>YEAR(E886)</f>
        <v>2023</v>
      </c>
      <c r="E886" s="3">
        <v>44988</v>
      </c>
      <c r="F886" s="4" t="s">
        <v>916</v>
      </c>
      <c r="G886" s="4" t="s">
        <v>7</v>
      </c>
      <c r="H886" s="4">
        <v>52</v>
      </c>
      <c r="I886" s="4" t="str" cm="1">
        <f t="array" ref="I886">_xlfn.IFS(H886&lt;30, "Young Adult", H886&lt;50, "Adult", H886&gt;=50, "Senior")</f>
        <v>Senior</v>
      </c>
      <c r="J886" s="4" t="s">
        <v>3</v>
      </c>
      <c r="K886" s="4">
        <v>4</v>
      </c>
      <c r="L886" s="16">
        <v>30</v>
      </c>
      <c r="M886" s="16">
        <f xml:space="preserve"> K886 * L886</f>
        <v>120</v>
      </c>
      <c r="N886" s="16">
        <f>M886 * $Q$3</f>
        <v>1.7999999999999998</v>
      </c>
      <c r="O886" s="16">
        <f>M886 * $Q$4</f>
        <v>2.4</v>
      </c>
    </row>
    <row r="887" spans="1:15">
      <c r="A887" s="2">
        <v>886</v>
      </c>
      <c r="B887" s="4">
        <f>DAY(E887)</f>
        <v>9</v>
      </c>
      <c r="C887" s="4">
        <f>MONTH(E887)</f>
        <v>4</v>
      </c>
      <c r="D887" s="4">
        <f>YEAR(E887)</f>
        <v>2023</v>
      </c>
      <c r="E887" s="3">
        <v>45025</v>
      </c>
      <c r="F887" s="4" t="s">
        <v>917</v>
      </c>
      <c r="G887" s="4" t="s">
        <v>8</v>
      </c>
      <c r="H887" s="4">
        <v>37</v>
      </c>
      <c r="I887" s="4" t="str" cm="1">
        <f t="array" ref="I887">_xlfn.IFS(H887&lt;30, "Young Adult", H887&lt;50, "Adult", H887&gt;=50, "Senior")</f>
        <v>Adult</v>
      </c>
      <c r="J887" s="4" t="s">
        <v>4</v>
      </c>
      <c r="K887" s="4">
        <v>3</v>
      </c>
      <c r="L887" s="16">
        <v>300</v>
      </c>
      <c r="M887" s="16">
        <f xml:space="preserve"> K887 * L887</f>
        <v>900</v>
      </c>
      <c r="N887" s="16">
        <f>M887 * $Q$3</f>
        <v>13.5</v>
      </c>
      <c r="O887" s="16">
        <f>M887 * $Q$4</f>
        <v>18</v>
      </c>
    </row>
    <row r="888" spans="1:15">
      <c r="A888" s="2">
        <v>887</v>
      </c>
      <c r="B888" s="4">
        <f>DAY(E888)</f>
        <v>11</v>
      </c>
      <c r="C888" s="4">
        <f>MONTH(E888)</f>
        <v>6</v>
      </c>
      <c r="D888" s="4">
        <f>YEAR(E888)</f>
        <v>2023</v>
      </c>
      <c r="E888" s="3">
        <v>45088</v>
      </c>
      <c r="F888" s="4" t="s">
        <v>918</v>
      </c>
      <c r="G888" s="4" t="s">
        <v>8</v>
      </c>
      <c r="H888" s="4">
        <v>59</v>
      </c>
      <c r="I888" s="4" t="str" cm="1">
        <f t="array" ref="I888">_xlfn.IFS(H888&lt;30, "Young Adult", H888&lt;50, "Adult", H888&gt;=50, "Senior")</f>
        <v>Senior</v>
      </c>
      <c r="J888" s="4" t="s">
        <v>3</v>
      </c>
      <c r="K888" s="4">
        <v>4</v>
      </c>
      <c r="L888" s="16">
        <v>25</v>
      </c>
      <c r="M888" s="16">
        <f xml:space="preserve"> K888 * L888</f>
        <v>100</v>
      </c>
      <c r="N888" s="16">
        <f>M888 * $Q$3</f>
        <v>1.5</v>
      </c>
      <c r="O888" s="16">
        <f>M888 * $Q$4</f>
        <v>2</v>
      </c>
    </row>
    <row r="889" spans="1:15">
      <c r="A889" s="2">
        <v>888</v>
      </c>
      <c r="B889" s="4">
        <f>DAY(E889)</f>
        <v>3</v>
      </c>
      <c r="C889" s="4">
        <f>MONTH(E889)</f>
        <v>3</v>
      </c>
      <c r="D889" s="4">
        <f>YEAR(E889)</f>
        <v>2023</v>
      </c>
      <c r="E889" s="3">
        <v>44988</v>
      </c>
      <c r="F889" s="4" t="s">
        <v>919</v>
      </c>
      <c r="G889" s="4" t="s">
        <v>7</v>
      </c>
      <c r="H889" s="4">
        <v>52</v>
      </c>
      <c r="I889" s="4" t="str" cm="1">
        <f t="array" ref="I889">_xlfn.IFS(H889&lt;30, "Young Adult", H889&lt;50, "Adult", H889&gt;=50, "Senior")</f>
        <v>Senior</v>
      </c>
      <c r="J889" s="4" t="s">
        <v>4</v>
      </c>
      <c r="K889" s="4">
        <v>4</v>
      </c>
      <c r="L889" s="16">
        <v>25</v>
      </c>
      <c r="M889" s="16">
        <f xml:space="preserve"> K889 * L889</f>
        <v>100</v>
      </c>
      <c r="N889" s="16">
        <f>M889 * $Q$3</f>
        <v>1.5</v>
      </c>
      <c r="O889" s="16">
        <f>M889 * $Q$4</f>
        <v>2</v>
      </c>
    </row>
    <row r="890" spans="1:15">
      <c r="A890" s="2">
        <v>889</v>
      </c>
      <c r="B890" s="4">
        <f>DAY(E890)</f>
        <v>2</v>
      </c>
      <c r="C890" s="4">
        <f>MONTH(E890)</f>
        <v>10</v>
      </c>
      <c r="D890" s="4">
        <f>YEAR(E890)</f>
        <v>2023</v>
      </c>
      <c r="E890" s="3">
        <v>45201</v>
      </c>
      <c r="F890" s="4" t="s">
        <v>920</v>
      </c>
      <c r="G890" s="4" t="s">
        <v>7</v>
      </c>
      <c r="H890" s="4">
        <v>35</v>
      </c>
      <c r="I890" s="4" t="str" cm="1">
        <f t="array" ref="I890">_xlfn.IFS(H890&lt;30, "Young Adult", H890&lt;50, "Adult", H890&gt;=50, "Senior")</f>
        <v>Adult</v>
      </c>
      <c r="J890" s="4" t="s">
        <v>4</v>
      </c>
      <c r="K890" s="4">
        <v>1</v>
      </c>
      <c r="L890" s="16">
        <v>50</v>
      </c>
      <c r="M890" s="16">
        <f xml:space="preserve"> K890 * L890</f>
        <v>50</v>
      </c>
      <c r="N890" s="16">
        <f>M890 * $Q$3</f>
        <v>0.75</v>
      </c>
      <c r="O890" s="16">
        <f>M890 * $Q$4</f>
        <v>1</v>
      </c>
    </row>
    <row r="891" spans="1:15">
      <c r="A891" s="2">
        <v>890</v>
      </c>
      <c r="B891" s="4">
        <f>DAY(E891)</f>
        <v>20</v>
      </c>
      <c r="C891" s="4">
        <f>MONTH(E891)</f>
        <v>12</v>
      </c>
      <c r="D891" s="4">
        <f>YEAR(E891)</f>
        <v>2023</v>
      </c>
      <c r="E891" s="3">
        <v>45280</v>
      </c>
      <c r="F891" s="4" t="s">
        <v>921</v>
      </c>
      <c r="G891" s="4" t="s">
        <v>8</v>
      </c>
      <c r="H891" s="4">
        <v>34</v>
      </c>
      <c r="I891" s="4" t="str" cm="1">
        <f t="array" ref="I891">_xlfn.IFS(H891&lt;30, "Young Adult", H891&lt;50, "Adult", H891&gt;=50, "Senior")</f>
        <v>Adult</v>
      </c>
      <c r="J891" s="4" t="s">
        <v>4</v>
      </c>
      <c r="K891" s="4">
        <v>2</v>
      </c>
      <c r="L891" s="16">
        <v>25</v>
      </c>
      <c r="M891" s="16">
        <f xml:space="preserve"> K891 * L891</f>
        <v>50</v>
      </c>
      <c r="N891" s="16">
        <f>M891 * $Q$3</f>
        <v>0.75</v>
      </c>
      <c r="O891" s="16">
        <f>M891 * $Q$4</f>
        <v>1</v>
      </c>
    </row>
    <row r="892" spans="1:15">
      <c r="A892" s="2">
        <v>891</v>
      </c>
      <c r="B892" s="4">
        <f>DAY(E892)</f>
        <v>5</v>
      </c>
      <c r="C892" s="4">
        <f>MONTH(E892)</f>
        <v>4</v>
      </c>
      <c r="D892" s="4">
        <f>YEAR(E892)</f>
        <v>2023</v>
      </c>
      <c r="E892" s="3">
        <v>45021</v>
      </c>
      <c r="F892" s="4" t="s">
        <v>922</v>
      </c>
      <c r="G892" s="4" t="s">
        <v>8</v>
      </c>
      <c r="H892" s="4">
        <v>41</v>
      </c>
      <c r="I892" s="4" t="str" cm="1">
        <f t="array" ref="I892">_xlfn.IFS(H892&lt;30, "Young Adult", H892&lt;50, "Adult", H892&gt;=50, "Senior")</f>
        <v>Adult</v>
      </c>
      <c r="J892" s="4" t="s">
        <v>4</v>
      </c>
      <c r="K892" s="4">
        <v>3</v>
      </c>
      <c r="L892" s="16">
        <v>300</v>
      </c>
      <c r="M892" s="16">
        <f xml:space="preserve"> K892 * L892</f>
        <v>900</v>
      </c>
      <c r="N892" s="16">
        <f>M892 * $Q$3</f>
        <v>13.5</v>
      </c>
      <c r="O892" s="16">
        <f>M892 * $Q$4</f>
        <v>18</v>
      </c>
    </row>
    <row r="893" spans="1:15">
      <c r="A893" s="2">
        <v>892</v>
      </c>
      <c r="B893" s="4">
        <f>DAY(E893)</f>
        <v>9</v>
      </c>
      <c r="C893" s="4">
        <f>MONTH(E893)</f>
        <v>4</v>
      </c>
      <c r="D893" s="4">
        <f>YEAR(E893)</f>
        <v>2023</v>
      </c>
      <c r="E893" s="3">
        <v>45025</v>
      </c>
      <c r="F893" s="4" t="s">
        <v>923</v>
      </c>
      <c r="G893" s="4" t="s">
        <v>8</v>
      </c>
      <c r="H893" s="4">
        <v>20</v>
      </c>
      <c r="I893" s="4" t="str" cm="1">
        <f t="array" ref="I893">_xlfn.IFS(H893&lt;30, "Young Adult", H893&lt;50, "Adult", H893&gt;=50, "Senior")</f>
        <v>Young Adult</v>
      </c>
      <c r="J893" s="4" t="s">
        <v>4</v>
      </c>
      <c r="K893" s="4">
        <v>1</v>
      </c>
      <c r="L893" s="16">
        <v>50</v>
      </c>
      <c r="M893" s="16">
        <f xml:space="preserve"> K893 * L893</f>
        <v>50</v>
      </c>
      <c r="N893" s="16">
        <f>M893 * $Q$3</f>
        <v>0.75</v>
      </c>
      <c r="O893" s="16">
        <f>M893 * $Q$4</f>
        <v>1</v>
      </c>
    </row>
    <row r="894" spans="1:15">
      <c r="A894" s="2">
        <v>893</v>
      </c>
      <c r="B894" s="4">
        <f>DAY(E894)</f>
        <v>21</v>
      </c>
      <c r="C894" s="4">
        <f>MONTH(E894)</f>
        <v>4</v>
      </c>
      <c r="D894" s="4">
        <f>YEAR(E894)</f>
        <v>2023</v>
      </c>
      <c r="E894" s="3">
        <v>45037</v>
      </c>
      <c r="F894" s="4" t="s">
        <v>924</v>
      </c>
      <c r="G894" s="4" t="s">
        <v>8</v>
      </c>
      <c r="H894" s="4">
        <v>49</v>
      </c>
      <c r="I894" s="4" t="str" cm="1">
        <f t="array" ref="I894">_xlfn.IFS(H894&lt;30, "Young Adult", H894&lt;50, "Adult", H894&gt;=50, "Senior")</f>
        <v>Adult</v>
      </c>
      <c r="J894" s="4" t="s">
        <v>4</v>
      </c>
      <c r="K894" s="4">
        <v>1</v>
      </c>
      <c r="L894" s="16">
        <v>50</v>
      </c>
      <c r="M894" s="16">
        <f xml:space="preserve"> K894 * L894</f>
        <v>50</v>
      </c>
      <c r="N894" s="16">
        <f>M894 * $Q$3</f>
        <v>0.75</v>
      </c>
      <c r="O894" s="16">
        <f>M894 * $Q$4</f>
        <v>1</v>
      </c>
    </row>
    <row r="895" spans="1:15">
      <c r="A895" s="2">
        <v>894</v>
      </c>
      <c r="B895" s="4">
        <f>DAY(E895)</f>
        <v>5</v>
      </c>
      <c r="C895" s="4">
        <f>MONTH(E895)</f>
        <v>9</v>
      </c>
      <c r="D895" s="4">
        <f>YEAR(E895)</f>
        <v>2023</v>
      </c>
      <c r="E895" s="3">
        <v>45174</v>
      </c>
      <c r="F895" s="4" t="s">
        <v>925</v>
      </c>
      <c r="G895" s="4" t="s">
        <v>8</v>
      </c>
      <c r="H895" s="4">
        <v>52</v>
      </c>
      <c r="I895" s="4" t="str" cm="1">
        <f t="array" ref="I895">_xlfn.IFS(H895&lt;30, "Young Adult", H895&lt;50, "Adult", H895&gt;=50, "Senior")</f>
        <v>Senior</v>
      </c>
      <c r="J895" s="4" t="s">
        <v>4</v>
      </c>
      <c r="K895" s="4">
        <v>1</v>
      </c>
      <c r="L895" s="16">
        <v>30</v>
      </c>
      <c r="M895" s="16">
        <f xml:space="preserve"> K895 * L895</f>
        <v>30</v>
      </c>
      <c r="N895" s="16">
        <f>M895 * $Q$3</f>
        <v>0.44999999999999996</v>
      </c>
      <c r="O895" s="16">
        <f>M895 * $Q$4</f>
        <v>0.6</v>
      </c>
    </row>
    <row r="896" spans="1:15">
      <c r="A896" s="2">
        <v>895</v>
      </c>
      <c r="B896" s="4">
        <f>DAY(E896)</f>
        <v>22</v>
      </c>
      <c r="C896" s="4">
        <f>MONTH(E896)</f>
        <v>5</v>
      </c>
      <c r="D896" s="4">
        <f>YEAR(E896)</f>
        <v>2023</v>
      </c>
      <c r="E896" s="3">
        <v>45068</v>
      </c>
      <c r="F896" s="4" t="s">
        <v>926</v>
      </c>
      <c r="G896" s="4" t="s">
        <v>7</v>
      </c>
      <c r="H896" s="4">
        <v>55</v>
      </c>
      <c r="I896" s="4" t="str" cm="1">
        <f t="array" ref="I896">_xlfn.IFS(H896&lt;30, "Young Adult", H896&lt;50, "Adult", H896&gt;=50, "Senior")</f>
        <v>Senior</v>
      </c>
      <c r="J896" s="4" t="s">
        <v>3</v>
      </c>
      <c r="K896" s="4">
        <v>4</v>
      </c>
      <c r="L896" s="16">
        <v>30</v>
      </c>
      <c r="M896" s="16">
        <f xml:space="preserve"> K896 * L896</f>
        <v>120</v>
      </c>
      <c r="N896" s="16">
        <f>M896 * $Q$3</f>
        <v>1.7999999999999998</v>
      </c>
      <c r="O896" s="16">
        <f>M896 * $Q$4</f>
        <v>2.4</v>
      </c>
    </row>
    <row r="897" spans="1:15">
      <c r="A897" s="2">
        <v>896</v>
      </c>
      <c r="B897" s="4">
        <f>DAY(E897)</f>
        <v>29</v>
      </c>
      <c r="C897" s="4">
        <f>MONTH(E897)</f>
        <v>10</v>
      </c>
      <c r="D897" s="4">
        <f>YEAR(E897)</f>
        <v>2023</v>
      </c>
      <c r="E897" s="3">
        <v>45228</v>
      </c>
      <c r="F897" s="4" t="s">
        <v>927</v>
      </c>
      <c r="G897" s="4" t="s">
        <v>7</v>
      </c>
      <c r="H897" s="4">
        <v>30</v>
      </c>
      <c r="I897" s="4" t="str" cm="1">
        <f t="array" ref="I897">_xlfn.IFS(H897&lt;30, "Young Adult", H897&lt;50, "Adult", H897&gt;=50, "Senior")</f>
        <v>Adult</v>
      </c>
      <c r="J897" s="4" t="s">
        <v>4</v>
      </c>
      <c r="K897" s="4">
        <v>2</v>
      </c>
      <c r="L897" s="16">
        <v>25</v>
      </c>
      <c r="M897" s="16">
        <f xml:space="preserve"> K897 * L897</f>
        <v>50</v>
      </c>
      <c r="N897" s="16">
        <f>M897 * $Q$3</f>
        <v>0.75</v>
      </c>
      <c r="O897" s="16">
        <f>M897 * $Q$4</f>
        <v>1</v>
      </c>
    </row>
    <row r="898" spans="1:15">
      <c r="A898" s="2">
        <v>897</v>
      </c>
      <c r="B898" s="4">
        <f>DAY(E898)</f>
        <v>26</v>
      </c>
      <c r="C898" s="4">
        <f>MONTH(E898)</f>
        <v>9</v>
      </c>
      <c r="D898" s="4">
        <f>YEAR(E898)</f>
        <v>2023</v>
      </c>
      <c r="E898" s="3">
        <v>45195</v>
      </c>
      <c r="F898" s="4" t="s">
        <v>928</v>
      </c>
      <c r="G898" s="4" t="s">
        <v>7</v>
      </c>
      <c r="H898" s="4">
        <v>64</v>
      </c>
      <c r="I898" s="4" t="str" cm="1">
        <f t="array" ref="I898">_xlfn.IFS(H898&lt;30, "Young Adult", H898&lt;50, "Adult", H898&gt;=50, "Senior")</f>
        <v>Senior</v>
      </c>
      <c r="J898" s="4" t="s">
        <v>4</v>
      </c>
      <c r="K898" s="4">
        <v>2</v>
      </c>
      <c r="L898" s="16">
        <v>50</v>
      </c>
      <c r="M898" s="16">
        <f xml:space="preserve"> K898 * L898</f>
        <v>100</v>
      </c>
      <c r="N898" s="16">
        <f>M898 * $Q$3</f>
        <v>1.5</v>
      </c>
      <c r="O898" s="16">
        <f>M898 * $Q$4</f>
        <v>2</v>
      </c>
    </row>
    <row r="899" spans="1:15">
      <c r="A899" s="2">
        <v>898</v>
      </c>
      <c r="B899" s="4">
        <f>DAY(E899)</f>
        <v>2</v>
      </c>
      <c r="C899" s="4">
        <f>MONTH(E899)</f>
        <v>11</v>
      </c>
      <c r="D899" s="4">
        <f>YEAR(E899)</f>
        <v>2023</v>
      </c>
      <c r="E899" s="3">
        <v>45232</v>
      </c>
      <c r="F899" s="4" t="s">
        <v>929</v>
      </c>
      <c r="G899" s="4" t="s">
        <v>7</v>
      </c>
      <c r="H899" s="4">
        <v>42</v>
      </c>
      <c r="I899" s="4" t="str" cm="1">
        <f t="array" ref="I899">_xlfn.IFS(H899&lt;30, "Young Adult", H899&lt;50, "Adult", H899&gt;=50, "Senior")</f>
        <v>Adult</v>
      </c>
      <c r="J899" s="4" t="s">
        <v>3</v>
      </c>
      <c r="K899" s="4">
        <v>3</v>
      </c>
      <c r="L899" s="16">
        <v>30</v>
      </c>
      <c r="M899" s="16">
        <f xml:space="preserve"> K899 * L899</f>
        <v>90</v>
      </c>
      <c r="N899" s="16">
        <f>M899 * $Q$3</f>
        <v>1.3499999999999999</v>
      </c>
      <c r="O899" s="16">
        <f>M899 * $Q$4</f>
        <v>1.8</v>
      </c>
    </row>
    <row r="900" spans="1:15">
      <c r="A900" s="2">
        <v>899</v>
      </c>
      <c r="B900" s="4">
        <f>DAY(E900)</f>
        <v>25</v>
      </c>
      <c r="C900" s="4">
        <f>MONTH(E900)</f>
        <v>5</v>
      </c>
      <c r="D900" s="4">
        <f>YEAR(E900)</f>
        <v>2023</v>
      </c>
      <c r="E900" s="3">
        <v>45071</v>
      </c>
      <c r="F900" s="4" t="s">
        <v>930</v>
      </c>
      <c r="G900" s="4" t="s">
        <v>8</v>
      </c>
      <c r="H900" s="4">
        <v>26</v>
      </c>
      <c r="I900" s="4" t="str" cm="1">
        <f t="array" ref="I900">_xlfn.IFS(H900&lt;30, "Young Adult", H900&lt;50, "Adult", H900&gt;=50, "Senior")</f>
        <v>Young Adult</v>
      </c>
      <c r="J900" s="4" t="s">
        <v>3</v>
      </c>
      <c r="K900" s="4">
        <v>2</v>
      </c>
      <c r="L900" s="16">
        <v>300</v>
      </c>
      <c r="M900" s="16">
        <f xml:space="preserve"> K900 * L900</f>
        <v>600</v>
      </c>
      <c r="N900" s="16">
        <f>M900 * $Q$3</f>
        <v>9</v>
      </c>
      <c r="O900" s="16">
        <f>M900 * $Q$4</f>
        <v>12</v>
      </c>
    </row>
    <row r="901" spans="1:15">
      <c r="A901" s="2">
        <v>900</v>
      </c>
      <c r="B901" s="4">
        <f>DAY(E901)</f>
        <v>21</v>
      </c>
      <c r="C901" s="4">
        <f>MONTH(E901)</f>
        <v>2</v>
      </c>
      <c r="D901" s="4">
        <f>YEAR(E901)</f>
        <v>2023</v>
      </c>
      <c r="E901" s="3">
        <v>44978</v>
      </c>
      <c r="F901" s="4" t="s">
        <v>931</v>
      </c>
      <c r="G901" s="4" t="s">
        <v>8</v>
      </c>
      <c r="H901" s="4">
        <v>21</v>
      </c>
      <c r="I901" s="4" t="str" cm="1">
        <f t="array" ref="I901">_xlfn.IFS(H901&lt;30, "Young Adult", H901&lt;50, "Adult", H901&gt;=50, "Senior")</f>
        <v>Young Adult</v>
      </c>
      <c r="J901" s="4" t="s">
        <v>3</v>
      </c>
      <c r="K901" s="4">
        <v>2</v>
      </c>
      <c r="L901" s="16">
        <v>30</v>
      </c>
      <c r="M901" s="16">
        <f xml:space="preserve"> K901 * L901</f>
        <v>60</v>
      </c>
      <c r="N901" s="16">
        <f>M901 * $Q$3</f>
        <v>0.89999999999999991</v>
      </c>
      <c r="O901" s="16">
        <f>M901 * $Q$4</f>
        <v>1.2</v>
      </c>
    </row>
    <row r="902" spans="1:15">
      <c r="A902" s="2">
        <v>901</v>
      </c>
      <c r="B902" s="4">
        <f>DAY(E902)</f>
        <v>10</v>
      </c>
      <c r="C902" s="4">
        <f>MONTH(E902)</f>
        <v>4</v>
      </c>
      <c r="D902" s="4">
        <f>YEAR(E902)</f>
        <v>2023</v>
      </c>
      <c r="E902" s="3">
        <v>45026</v>
      </c>
      <c r="F902" s="4" t="s">
        <v>932</v>
      </c>
      <c r="G902" s="4" t="s">
        <v>8</v>
      </c>
      <c r="H902" s="4">
        <v>31</v>
      </c>
      <c r="I902" s="4" t="str" cm="1">
        <f t="array" ref="I902">_xlfn.IFS(H902&lt;30, "Young Adult", H902&lt;50, "Adult", H902&gt;=50, "Senior")</f>
        <v>Adult</v>
      </c>
      <c r="J902" s="4" t="s">
        <v>4</v>
      </c>
      <c r="K902" s="4">
        <v>1</v>
      </c>
      <c r="L902" s="16">
        <v>30</v>
      </c>
      <c r="M902" s="16">
        <f xml:space="preserve"> K902 * L902</f>
        <v>30</v>
      </c>
      <c r="N902" s="16">
        <f>M902 * $Q$3</f>
        <v>0.44999999999999996</v>
      </c>
      <c r="O902" s="16">
        <f>M902 * $Q$4</f>
        <v>0.6</v>
      </c>
    </row>
    <row r="903" spans="1:15">
      <c r="A903" s="2">
        <v>902</v>
      </c>
      <c r="B903" s="4">
        <f>DAY(E903)</f>
        <v>1</v>
      </c>
      <c r="C903" s="4">
        <f>MONTH(E903)</f>
        <v>6</v>
      </c>
      <c r="D903" s="4">
        <f>YEAR(E903)</f>
        <v>2023</v>
      </c>
      <c r="E903" s="3">
        <v>45078</v>
      </c>
      <c r="F903" s="4" t="s">
        <v>933</v>
      </c>
      <c r="G903" s="4" t="s">
        <v>7</v>
      </c>
      <c r="H903" s="4">
        <v>54</v>
      </c>
      <c r="I903" s="4" t="str" cm="1">
        <f t="array" ref="I903">_xlfn.IFS(H903&lt;30, "Young Adult", H903&lt;50, "Adult", H903&gt;=50, "Senior")</f>
        <v>Senior</v>
      </c>
      <c r="J903" s="4" t="s">
        <v>2</v>
      </c>
      <c r="K903" s="4">
        <v>1</v>
      </c>
      <c r="L903" s="16">
        <v>50</v>
      </c>
      <c r="M903" s="16">
        <f xml:space="preserve"> K903 * L903</f>
        <v>50</v>
      </c>
      <c r="N903" s="16">
        <f>M903 * $Q$3</f>
        <v>0.75</v>
      </c>
      <c r="O903" s="16">
        <f>M903 * $Q$4</f>
        <v>1</v>
      </c>
    </row>
    <row r="904" spans="1:15">
      <c r="A904" s="2">
        <v>903</v>
      </c>
      <c r="B904" s="4">
        <f>DAY(E904)</f>
        <v>27</v>
      </c>
      <c r="C904" s="4">
        <f>MONTH(E904)</f>
        <v>4</v>
      </c>
      <c r="D904" s="4">
        <f>YEAR(E904)</f>
        <v>2023</v>
      </c>
      <c r="E904" s="3">
        <v>45043</v>
      </c>
      <c r="F904" s="4" t="s">
        <v>934</v>
      </c>
      <c r="G904" s="4" t="s">
        <v>7</v>
      </c>
      <c r="H904" s="4">
        <v>51</v>
      </c>
      <c r="I904" s="4" t="str" cm="1">
        <f t="array" ref="I904">_xlfn.IFS(H904&lt;30, "Young Adult", H904&lt;50, "Adult", H904&gt;=50, "Senior")</f>
        <v>Senior</v>
      </c>
      <c r="J904" s="4" t="s">
        <v>2</v>
      </c>
      <c r="K904" s="4">
        <v>4</v>
      </c>
      <c r="L904" s="16">
        <v>50</v>
      </c>
      <c r="M904" s="16">
        <f xml:space="preserve"> K904 * L904</f>
        <v>200</v>
      </c>
      <c r="N904" s="16">
        <f>M904 * $Q$3</f>
        <v>3</v>
      </c>
      <c r="O904" s="16">
        <f>M904 * $Q$4</f>
        <v>4</v>
      </c>
    </row>
    <row r="905" spans="1:15">
      <c r="A905" s="2">
        <v>904</v>
      </c>
      <c r="B905" s="4">
        <f>DAY(E905)</f>
        <v>4</v>
      </c>
      <c r="C905" s="4">
        <f>MONTH(E905)</f>
        <v>7</v>
      </c>
      <c r="D905" s="4">
        <f>YEAR(E905)</f>
        <v>2023</v>
      </c>
      <c r="E905" s="3">
        <v>45111</v>
      </c>
      <c r="F905" s="4" t="s">
        <v>935</v>
      </c>
      <c r="G905" s="4" t="s">
        <v>8</v>
      </c>
      <c r="H905" s="4">
        <v>28</v>
      </c>
      <c r="I905" s="4" t="str" cm="1">
        <f t="array" ref="I905">_xlfn.IFS(H905&lt;30, "Young Adult", H905&lt;50, "Adult", H905&gt;=50, "Senior")</f>
        <v>Young Adult</v>
      </c>
      <c r="J905" s="4" t="s">
        <v>3</v>
      </c>
      <c r="K905" s="4">
        <v>1</v>
      </c>
      <c r="L905" s="16">
        <v>500</v>
      </c>
      <c r="M905" s="16">
        <f xml:space="preserve"> K905 * L905</f>
        <v>500</v>
      </c>
      <c r="N905" s="16">
        <f>M905 * $Q$3</f>
        <v>7.5</v>
      </c>
      <c r="O905" s="16">
        <f>M905 * $Q$4</f>
        <v>10</v>
      </c>
    </row>
    <row r="906" spans="1:15">
      <c r="A906" s="2">
        <v>905</v>
      </c>
      <c r="B906" s="4">
        <f>DAY(E906)</f>
        <v>2</v>
      </c>
      <c r="C906" s="4">
        <f>MONTH(E906)</f>
        <v>4</v>
      </c>
      <c r="D906" s="4">
        <f>YEAR(E906)</f>
        <v>2023</v>
      </c>
      <c r="E906" s="3">
        <v>45018</v>
      </c>
      <c r="F906" s="4" t="s">
        <v>936</v>
      </c>
      <c r="G906" s="4" t="s">
        <v>8</v>
      </c>
      <c r="H906" s="4">
        <v>58</v>
      </c>
      <c r="I906" s="4" t="str" cm="1">
        <f t="array" ref="I906">_xlfn.IFS(H906&lt;30, "Young Adult", H906&lt;50, "Adult", H906&gt;=50, "Senior")</f>
        <v>Senior</v>
      </c>
      <c r="J906" s="4" t="s">
        <v>2</v>
      </c>
      <c r="K906" s="4">
        <v>1</v>
      </c>
      <c r="L906" s="16">
        <v>300</v>
      </c>
      <c r="M906" s="16">
        <f xml:space="preserve"> K906 * L906</f>
        <v>300</v>
      </c>
      <c r="N906" s="16">
        <f>M906 * $Q$3</f>
        <v>4.5</v>
      </c>
      <c r="O906" s="16">
        <f>M906 * $Q$4</f>
        <v>6</v>
      </c>
    </row>
    <row r="907" spans="1:15">
      <c r="A907" s="2">
        <v>906</v>
      </c>
      <c r="B907" s="4">
        <f>DAY(E907)</f>
        <v>4</v>
      </c>
      <c r="C907" s="4">
        <f>MONTH(E907)</f>
        <v>6</v>
      </c>
      <c r="D907" s="4">
        <f>YEAR(E907)</f>
        <v>2023</v>
      </c>
      <c r="E907" s="3">
        <v>45081</v>
      </c>
      <c r="F907" s="4" t="s">
        <v>937</v>
      </c>
      <c r="G907" s="4" t="s">
        <v>7</v>
      </c>
      <c r="H907" s="4">
        <v>20</v>
      </c>
      <c r="I907" s="4" t="str" cm="1">
        <f t="array" ref="I907">_xlfn.IFS(H907&lt;30, "Young Adult", H907&lt;50, "Adult", H907&gt;=50, "Senior")</f>
        <v>Young Adult</v>
      </c>
      <c r="J907" s="4" t="s">
        <v>3</v>
      </c>
      <c r="K907" s="4">
        <v>1</v>
      </c>
      <c r="L907" s="16">
        <v>50</v>
      </c>
      <c r="M907" s="16">
        <f xml:space="preserve"> K907 * L907</f>
        <v>50</v>
      </c>
      <c r="N907" s="16">
        <f>M907 * $Q$3</f>
        <v>0.75</v>
      </c>
      <c r="O907" s="16">
        <f>M907 * $Q$4</f>
        <v>1</v>
      </c>
    </row>
    <row r="908" spans="1:15">
      <c r="A908" s="2">
        <v>907</v>
      </c>
      <c r="B908" s="4">
        <f>DAY(E908)</f>
        <v>8</v>
      </c>
      <c r="C908" s="4">
        <f>MONTH(E908)</f>
        <v>1</v>
      </c>
      <c r="D908" s="4">
        <f>YEAR(E908)</f>
        <v>2023</v>
      </c>
      <c r="E908" s="3">
        <v>44934</v>
      </c>
      <c r="F908" s="4" t="s">
        <v>938</v>
      </c>
      <c r="G908" s="4" t="s">
        <v>7</v>
      </c>
      <c r="H908" s="4">
        <v>45</v>
      </c>
      <c r="I908" s="4" t="str" cm="1">
        <f t="array" ref="I908">_xlfn.IFS(H908&lt;30, "Young Adult", H908&lt;50, "Adult", H908&gt;=50, "Senior")</f>
        <v>Adult</v>
      </c>
      <c r="J908" s="4" t="s">
        <v>4</v>
      </c>
      <c r="K908" s="4">
        <v>1</v>
      </c>
      <c r="L908" s="16">
        <v>25</v>
      </c>
      <c r="M908" s="16">
        <f xml:space="preserve"> K908 * L908</f>
        <v>25</v>
      </c>
      <c r="N908" s="16">
        <f>M908 * $Q$3</f>
        <v>0.375</v>
      </c>
      <c r="O908" s="16">
        <f>M908 * $Q$4</f>
        <v>0.5</v>
      </c>
    </row>
    <row r="909" spans="1:15">
      <c r="A909" s="2">
        <v>908</v>
      </c>
      <c r="B909" s="4">
        <f>DAY(E909)</f>
        <v>29</v>
      </c>
      <c r="C909" s="4">
        <f>MONTH(E909)</f>
        <v>12</v>
      </c>
      <c r="D909" s="4">
        <f>YEAR(E909)</f>
        <v>2023</v>
      </c>
      <c r="E909" s="3">
        <v>45289</v>
      </c>
      <c r="F909" s="4" t="s">
        <v>939</v>
      </c>
      <c r="G909" s="4" t="s">
        <v>8</v>
      </c>
      <c r="H909" s="4">
        <v>46</v>
      </c>
      <c r="I909" s="4" t="str" cm="1">
        <f t="array" ref="I909">_xlfn.IFS(H909&lt;30, "Young Adult", H909&lt;50, "Adult", H909&gt;=50, "Senior")</f>
        <v>Adult</v>
      </c>
      <c r="J909" s="4" t="s">
        <v>2</v>
      </c>
      <c r="K909" s="4">
        <v>4</v>
      </c>
      <c r="L909" s="16">
        <v>300</v>
      </c>
      <c r="M909" s="16">
        <f xml:space="preserve"> K909 * L909</f>
        <v>1200</v>
      </c>
      <c r="N909" s="16">
        <f>M909 * $Q$3</f>
        <v>18</v>
      </c>
      <c r="O909" s="16">
        <f>M909 * $Q$4</f>
        <v>24</v>
      </c>
    </row>
    <row r="910" spans="1:15">
      <c r="A910" s="2">
        <v>909</v>
      </c>
      <c r="B910" s="4">
        <f>DAY(E910)</f>
        <v>1</v>
      </c>
      <c r="C910" s="4">
        <f>MONTH(E910)</f>
        <v>10</v>
      </c>
      <c r="D910" s="4">
        <f>YEAR(E910)</f>
        <v>2023</v>
      </c>
      <c r="E910" s="3">
        <v>45200</v>
      </c>
      <c r="F910" s="4" t="s">
        <v>940</v>
      </c>
      <c r="G910" s="4" t="s">
        <v>8</v>
      </c>
      <c r="H910" s="4">
        <v>26</v>
      </c>
      <c r="I910" s="4" t="str" cm="1">
        <f t="array" ref="I910">_xlfn.IFS(H910&lt;30, "Young Adult", H910&lt;50, "Adult", H910&gt;=50, "Senior")</f>
        <v>Young Adult</v>
      </c>
      <c r="J910" s="4" t="s">
        <v>4</v>
      </c>
      <c r="K910" s="4">
        <v>1</v>
      </c>
      <c r="L910" s="16">
        <v>300</v>
      </c>
      <c r="M910" s="16">
        <f xml:space="preserve"> K910 * L910</f>
        <v>300</v>
      </c>
      <c r="N910" s="16">
        <f>M910 * $Q$3</f>
        <v>4.5</v>
      </c>
      <c r="O910" s="16">
        <f>M910 * $Q$4</f>
        <v>6</v>
      </c>
    </row>
    <row r="911" spans="1:15">
      <c r="A911" s="2">
        <v>910</v>
      </c>
      <c r="B911" s="4">
        <f>DAY(E911)</f>
        <v>6</v>
      </c>
      <c r="C911" s="4">
        <f>MONTH(E911)</f>
        <v>3</v>
      </c>
      <c r="D911" s="4">
        <f>YEAR(E911)</f>
        <v>2023</v>
      </c>
      <c r="E911" s="3">
        <v>44991</v>
      </c>
      <c r="F911" s="4" t="s">
        <v>941</v>
      </c>
      <c r="G911" s="4" t="s">
        <v>7</v>
      </c>
      <c r="H911" s="4">
        <v>20</v>
      </c>
      <c r="I911" s="4" t="str" cm="1">
        <f t="array" ref="I911">_xlfn.IFS(H911&lt;30, "Young Adult", H911&lt;50, "Adult", H911&gt;=50, "Senior")</f>
        <v>Young Adult</v>
      </c>
      <c r="J911" s="4" t="s">
        <v>2</v>
      </c>
      <c r="K911" s="4">
        <v>3</v>
      </c>
      <c r="L911" s="16">
        <v>50</v>
      </c>
      <c r="M911" s="16">
        <f xml:space="preserve"> K911 * L911</f>
        <v>150</v>
      </c>
      <c r="N911" s="16">
        <f>M911 * $Q$3</f>
        <v>2.25</v>
      </c>
      <c r="O911" s="16">
        <f>M911 * $Q$4</f>
        <v>3</v>
      </c>
    </row>
    <row r="912" spans="1:15">
      <c r="A912" s="2">
        <v>911</v>
      </c>
      <c r="B912" s="4">
        <f>DAY(E912)</f>
        <v>21</v>
      </c>
      <c r="C912" s="4">
        <f>MONTH(E912)</f>
        <v>5</v>
      </c>
      <c r="D912" s="4">
        <f>YEAR(E912)</f>
        <v>2023</v>
      </c>
      <c r="E912" s="3">
        <v>45067</v>
      </c>
      <c r="F912" s="4" t="s">
        <v>942</v>
      </c>
      <c r="G912" s="4" t="s">
        <v>8</v>
      </c>
      <c r="H912" s="4">
        <v>42</v>
      </c>
      <c r="I912" s="4" t="str" cm="1">
        <f t="array" ref="I912">_xlfn.IFS(H912&lt;30, "Young Adult", H912&lt;50, "Adult", H912&gt;=50, "Senior")</f>
        <v>Adult</v>
      </c>
      <c r="J912" s="4" t="s">
        <v>4</v>
      </c>
      <c r="K912" s="4">
        <v>3</v>
      </c>
      <c r="L912" s="16">
        <v>300</v>
      </c>
      <c r="M912" s="16">
        <f xml:space="preserve"> K912 * L912</f>
        <v>900</v>
      </c>
      <c r="N912" s="16">
        <f>M912 * $Q$3</f>
        <v>13.5</v>
      </c>
      <c r="O912" s="16">
        <f>M912 * $Q$4</f>
        <v>18</v>
      </c>
    </row>
    <row r="913" spans="1:15">
      <c r="A913" s="2">
        <v>912</v>
      </c>
      <c r="B913" s="4">
        <f>DAY(E913)</f>
        <v>24</v>
      </c>
      <c r="C913" s="4">
        <f>MONTH(E913)</f>
        <v>1</v>
      </c>
      <c r="D913" s="4">
        <f>YEAR(E913)</f>
        <v>2023</v>
      </c>
      <c r="E913" s="3">
        <v>44950</v>
      </c>
      <c r="F913" s="4" t="s">
        <v>943</v>
      </c>
      <c r="G913" s="4" t="s">
        <v>8</v>
      </c>
      <c r="H913" s="4">
        <v>51</v>
      </c>
      <c r="I913" s="4" t="str" cm="1">
        <f t="array" ref="I913">_xlfn.IFS(H913&lt;30, "Young Adult", H913&lt;50, "Adult", H913&gt;=50, "Senior")</f>
        <v>Senior</v>
      </c>
      <c r="J913" s="4" t="s">
        <v>2</v>
      </c>
      <c r="K913" s="4">
        <v>3</v>
      </c>
      <c r="L913" s="16">
        <v>50</v>
      </c>
      <c r="M913" s="16">
        <f xml:space="preserve"> K913 * L913</f>
        <v>150</v>
      </c>
      <c r="N913" s="16">
        <f>M913 * $Q$3</f>
        <v>2.25</v>
      </c>
      <c r="O913" s="16">
        <f>M913 * $Q$4</f>
        <v>3</v>
      </c>
    </row>
    <row r="914" spans="1:15">
      <c r="A914" s="2">
        <v>913</v>
      </c>
      <c r="B914" s="4">
        <f>DAY(E914)</f>
        <v>28</v>
      </c>
      <c r="C914" s="4">
        <f>MONTH(E914)</f>
        <v>1</v>
      </c>
      <c r="D914" s="4">
        <f>YEAR(E914)</f>
        <v>2023</v>
      </c>
      <c r="E914" s="3">
        <v>44954</v>
      </c>
      <c r="F914" s="4" t="s">
        <v>944</v>
      </c>
      <c r="G914" s="4" t="s">
        <v>8</v>
      </c>
      <c r="H914" s="4">
        <v>29</v>
      </c>
      <c r="I914" s="4" t="str" cm="1">
        <f t="array" ref="I914">_xlfn.IFS(H914&lt;30, "Young Adult", H914&lt;50, "Adult", H914&gt;=50, "Senior")</f>
        <v>Young Adult</v>
      </c>
      <c r="J914" s="4" t="s">
        <v>4</v>
      </c>
      <c r="K914" s="4">
        <v>3</v>
      </c>
      <c r="L914" s="16">
        <v>30</v>
      </c>
      <c r="M914" s="16">
        <f xml:space="preserve"> K914 * L914</f>
        <v>90</v>
      </c>
      <c r="N914" s="16">
        <f>M914 * $Q$3</f>
        <v>1.3499999999999999</v>
      </c>
      <c r="O914" s="16">
        <f>M914 * $Q$4</f>
        <v>1.8</v>
      </c>
    </row>
    <row r="915" spans="1:15">
      <c r="A915" s="2">
        <v>914</v>
      </c>
      <c r="B915" s="4">
        <f>DAY(E915)</f>
        <v>11</v>
      </c>
      <c r="C915" s="4">
        <f>MONTH(E915)</f>
        <v>10</v>
      </c>
      <c r="D915" s="4">
        <f>YEAR(E915)</f>
        <v>2023</v>
      </c>
      <c r="E915" s="3">
        <v>45210</v>
      </c>
      <c r="F915" s="4" t="s">
        <v>945</v>
      </c>
      <c r="G915" s="4" t="s">
        <v>7</v>
      </c>
      <c r="H915" s="4">
        <v>59</v>
      </c>
      <c r="I915" s="4" t="str" cm="1">
        <f t="array" ref="I915">_xlfn.IFS(H915&lt;30, "Young Adult", H915&lt;50, "Adult", H915&gt;=50, "Senior")</f>
        <v>Senior</v>
      </c>
      <c r="J915" s="4" t="s">
        <v>4</v>
      </c>
      <c r="K915" s="4">
        <v>1</v>
      </c>
      <c r="L915" s="16">
        <v>500</v>
      </c>
      <c r="M915" s="16">
        <f xml:space="preserve"> K915 * L915</f>
        <v>500</v>
      </c>
      <c r="N915" s="16">
        <f>M915 * $Q$3</f>
        <v>7.5</v>
      </c>
      <c r="O915" s="16">
        <f>M915 * $Q$4</f>
        <v>10</v>
      </c>
    </row>
    <row r="916" spans="1:15">
      <c r="A916" s="2">
        <v>915</v>
      </c>
      <c r="B916" s="4">
        <f>DAY(E916)</f>
        <v>30</v>
      </c>
      <c r="C916" s="4">
        <f>MONTH(E916)</f>
        <v>5</v>
      </c>
      <c r="D916" s="4">
        <f>YEAR(E916)</f>
        <v>2023</v>
      </c>
      <c r="E916" s="3">
        <v>45076</v>
      </c>
      <c r="F916" s="4" t="s">
        <v>946</v>
      </c>
      <c r="G916" s="4" t="s">
        <v>7</v>
      </c>
      <c r="H916" s="4">
        <v>26</v>
      </c>
      <c r="I916" s="4" t="str" cm="1">
        <f t="array" ref="I916">_xlfn.IFS(H916&lt;30, "Young Adult", H916&lt;50, "Adult", H916&gt;=50, "Senior")</f>
        <v>Young Adult</v>
      </c>
      <c r="J916" s="4" t="s">
        <v>2</v>
      </c>
      <c r="K916" s="4">
        <v>3</v>
      </c>
      <c r="L916" s="16">
        <v>30</v>
      </c>
      <c r="M916" s="16">
        <f xml:space="preserve"> K916 * L916</f>
        <v>90</v>
      </c>
      <c r="N916" s="16">
        <f>M916 * $Q$3</f>
        <v>1.3499999999999999</v>
      </c>
      <c r="O916" s="16">
        <f>M916 * $Q$4</f>
        <v>1.8</v>
      </c>
    </row>
    <row r="917" spans="1:15">
      <c r="A917" s="2">
        <v>916</v>
      </c>
      <c r="B917" s="4">
        <f>DAY(E917)</f>
        <v>24</v>
      </c>
      <c r="C917" s="4">
        <f>MONTH(E917)</f>
        <v>12</v>
      </c>
      <c r="D917" s="4">
        <f>YEAR(E917)</f>
        <v>2023</v>
      </c>
      <c r="E917" s="3">
        <v>45284</v>
      </c>
      <c r="F917" s="4" t="s">
        <v>947</v>
      </c>
      <c r="G917" s="4" t="s">
        <v>7</v>
      </c>
      <c r="H917" s="4">
        <v>32</v>
      </c>
      <c r="I917" s="4" t="str" cm="1">
        <f t="array" ref="I917">_xlfn.IFS(H917&lt;30, "Young Adult", H917&lt;50, "Adult", H917&gt;=50, "Senior")</f>
        <v>Adult</v>
      </c>
      <c r="J917" s="4" t="s">
        <v>4</v>
      </c>
      <c r="K917" s="4">
        <v>1</v>
      </c>
      <c r="L917" s="16">
        <v>50</v>
      </c>
      <c r="M917" s="16">
        <f xml:space="preserve"> K917 * L917</f>
        <v>50</v>
      </c>
      <c r="N917" s="16">
        <f>M917 * $Q$3</f>
        <v>0.75</v>
      </c>
      <c r="O917" s="16">
        <f>M917 * $Q$4</f>
        <v>1</v>
      </c>
    </row>
    <row r="918" spans="1:15">
      <c r="A918" s="2">
        <v>917</v>
      </c>
      <c r="B918" s="4">
        <f>DAY(E918)</f>
        <v>6</v>
      </c>
      <c r="C918" s="4">
        <f>MONTH(E918)</f>
        <v>3</v>
      </c>
      <c r="D918" s="4">
        <f>YEAR(E918)</f>
        <v>2023</v>
      </c>
      <c r="E918" s="3">
        <v>44991</v>
      </c>
      <c r="F918" s="4" t="s">
        <v>948</v>
      </c>
      <c r="G918" s="4" t="s">
        <v>7</v>
      </c>
      <c r="H918" s="4">
        <v>57</v>
      </c>
      <c r="I918" s="4" t="str" cm="1">
        <f t="array" ref="I918">_xlfn.IFS(H918&lt;30, "Young Adult", H918&lt;50, "Adult", H918&gt;=50, "Senior")</f>
        <v>Senior</v>
      </c>
      <c r="J918" s="4" t="s">
        <v>4</v>
      </c>
      <c r="K918" s="4">
        <v>4</v>
      </c>
      <c r="L918" s="16">
        <v>50</v>
      </c>
      <c r="M918" s="16">
        <f xml:space="preserve"> K918 * L918</f>
        <v>200</v>
      </c>
      <c r="N918" s="16">
        <f>M918 * $Q$3</f>
        <v>3</v>
      </c>
      <c r="O918" s="16">
        <f>M918 * $Q$4</f>
        <v>4</v>
      </c>
    </row>
    <row r="919" spans="1:15">
      <c r="A919" s="2">
        <v>918</v>
      </c>
      <c r="B919" s="4">
        <f>DAY(E919)</f>
        <v>23</v>
      </c>
      <c r="C919" s="4">
        <f>MONTH(E919)</f>
        <v>11</v>
      </c>
      <c r="D919" s="4">
        <f>YEAR(E919)</f>
        <v>2023</v>
      </c>
      <c r="E919" s="3">
        <v>45253</v>
      </c>
      <c r="F919" s="4" t="s">
        <v>949</v>
      </c>
      <c r="G919" s="4" t="s">
        <v>7</v>
      </c>
      <c r="H919" s="4">
        <v>42</v>
      </c>
      <c r="I919" s="4" t="str" cm="1">
        <f t="array" ref="I919">_xlfn.IFS(H919&lt;30, "Young Adult", H919&lt;50, "Adult", H919&gt;=50, "Senior")</f>
        <v>Adult</v>
      </c>
      <c r="J919" s="4" t="s">
        <v>4</v>
      </c>
      <c r="K919" s="4">
        <v>3</v>
      </c>
      <c r="L919" s="16">
        <v>30</v>
      </c>
      <c r="M919" s="16">
        <f xml:space="preserve"> K919 * L919</f>
        <v>90</v>
      </c>
      <c r="N919" s="16">
        <f>M919 * $Q$3</f>
        <v>1.3499999999999999</v>
      </c>
      <c r="O919" s="16">
        <f>M919 * $Q$4</f>
        <v>1.8</v>
      </c>
    </row>
    <row r="920" spans="1:15">
      <c r="A920" s="2">
        <v>919</v>
      </c>
      <c r="B920" s="4">
        <f>DAY(E920)</f>
        <v>9</v>
      </c>
      <c r="C920" s="4">
        <f>MONTH(E920)</f>
        <v>9</v>
      </c>
      <c r="D920" s="4">
        <f>YEAR(E920)</f>
        <v>2023</v>
      </c>
      <c r="E920" s="3">
        <v>45178</v>
      </c>
      <c r="F920" s="4" t="s">
        <v>950</v>
      </c>
      <c r="G920" s="4" t="s">
        <v>7</v>
      </c>
      <c r="H920" s="4">
        <v>22</v>
      </c>
      <c r="I920" s="4" t="str" cm="1">
        <f t="array" ref="I920">_xlfn.IFS(H920&lt;30, "Young Adult", H920&lt;50, "Adult", H920&gt;=50, "Senior")</f>
        <v>Young Adult</v>
      </c>
      <c r="J920" s="4" t="s">
        <v>2</v>
      </c>
      <c r="K920" s="4">
        <v>2</v>
      </c>
      <c r="L920" s="16">
        <v>25</v>
      </c>
      <c r="M920" s="16">
        <f xml:space="preserve"> K920 * L920</f>
        <v>50</v>
      </c>
      <c r="N920" s="16">
        <f>M920 * $Q$3</f>
        <v>0.75</v>
      </c>
      <c r="O920" s="16">
        <f>M920 * $Q$4</f>
        <v>1</v>
      </c>
    </row>
    <row r="921" spans="1:15">
      <c r="A921" s="2">
        <v>920</v>
      </c>
      <c r="B921" s="4">
        <f>DAY(E921)</f>
        <v>22</v>
      </c>
      <c r="C921" s="4">
        <f>MONTH(E921)</f>
        <v>2</v>
      </c>
      <c r="D921" s="4">
        <f>YEAR(E921)</f>
        <v>2023</v>
      </c>
      <c r="E921" s="3">
        <v>44979</v>
      </c>
      <c r="F921" s="4" t="s">
        <v>951</v>
      </c>
      <c r="G921" s="4" t="s">
        <v>7</v>
      </c>
      <c r="H921" s="4">
        <v>28</v>
      </c>
      <c r="I921" s="4" t="str" cm="1">
        <f t="array" ref="I921">_xlfn.IFS(H921&lt;30, "Young Adult", H921&lt;50, "Adult", H921&gt;=50, "Senior")</f>
        <v>Young Adult</v>
      </c>
      <c r="J921" s="4" t="s">
        <v>2</v>
      </c>
      <c r="K921" s="4">
        <v>3</v>
      </c>
      <c r="L921" s="16">
        <v>25</v>
      </c>
      <c r="M921" s="16">
        <f xml:space="preserve"> K921 * L921</f>
        <v>75</v>
      </c>
      <c r="N921" s="16">
        <f>M921 * $Q$3</f>
        <v>1.125</v>
      </c>
      <c r="O921" s="16">
        <f>M921 * $Q$4</f>
        <v>1.5</v>
      </c>
    </row>
    <row r="922" spans="1:15">
      <c r="A922" s="2">
        <v>921</v>
      </c>
      <c r="B922" s="4">
        <f>DAY(E922)</f>
        <v>7</v>
      </c>
      <c r="C922" s="4">
        <f>MONTH(E922)</f>
        <v>1</v>
      </c>
      <c r="D922" s="4">
        <f>YEAR(E922)</f>
        <v>2023</v>
      </c>
      <c r="E922" s="3">
        <v>44933</v>
      </c>
      <c r="F922" s="4" t="s">
        <v>952</v>
      </c>
      <c r="G922" s="4" t="s">
        <v>8</v>
      </c>
      <c r="H922" s="4">
        <v>51</v>
      </c>
      <c r="I922" s="4" t="str" cm="1">
        <f t="array" ref="I922">_xlfn.IFS(H922&lt;30, "Young Adult", H922&lt;50, "Adult", H922&gt;=50, "Senior")</f>
        <v>Senior</v>
      </c>
      <c r="J922" s="4" t="s">
        <v>4</v>
      </c>
      <c r="K922" s="4">
        <v>3</v>
      </c>
      <c r="L922" s="16">
        <v>25</v>
      </c>
      <c r="M922" s="16">
        <f xml:space="preserve"> K922 * L922</f>
        <v>75</v>
      </c>
      <c r="N922" s="16">
        <f>M922 * $Q$3</f>
        <v>1.125</v>
      </c>
      <c r="O922" s="16">
        <f>M922 * $Q$4</f>
        <v>1.5</v>
      </c>
    </row>
    <row r="923" spans="1:15">
      <c r="A923" s="2">
        <v>922</v>
      </c>
      <c r="B923" s="4">
        <f>DAY(E923)</f>
        <v>21</v>
      </c>
      <c r="C923" s="4">
        <f>MONTH(E923)</f>
        <v>10</v>
      </c>
      <c r="D923" s="4">
        <f>YEAR(E923)</f>
        <v>2023</v>
      </c>
      <c r="E923" s="3">
        <v>45220</v>
      </c>
      <c r="F923" s="4" t="s">
        <v>953</v>
      </c>
      <c r="G923" s="4" t="s">
        <v>8</v>
      </c>
      <c r="H923" s="4">
        <v>41</v>
      </c>
      <c r="I923" s="4" t="str" cm="1">
        <f t="array" ref="I923">_xlfn.IFS(H923&lt;30, "Young Adult", H923&lt;50, "Adult", H923&gt;=50, "Senior")</f>
        <v>Adult</v>
      </c>
      <c r="J923" s="4" t="s">
        <v>4</v>
      </c>
      <c r="K923" s="4">
        <v>1</v>
      </c>
      <c r="L923" s="16">
        <v>50</v>
      </c>
      <c r="M923" s="16">
        <f xml:space="preserve"> K923 * L923</f>
        <v>50</v>
      </c>
      <c r="N923" s="16">
        <f>M923 * $Q$3</f>
        <v>0.75</v>
      </c>
      <c r="O923" s="16">
        <f>M923 * $Q$4</f>
        <v>1</v>
      </c>
    </row>
    <row r="924" spans="1:15">
      <c r="A924" s="2">
        <v>923</v>
      </c>
      <c r="B924" s="4">
        <f>DAY(E924)</f>
        <v>26</v>
      </c>
      <c r="C924" s="4">
        <f>MONTH(E924)</f>
        <v>5</v>
      </c>
      <c r="D924" s="4">
        <f>YEAR(E924)</f>
        <v>2023</v>
      </c>
      <c r="E924" s="3">
        <v>45072</v>
      </c>
      <c r="F924" s="4" t="s">
        <v>954</v>
      </c>
      <c r="G924" s="4" t="s">
        <v>8</v>
      </c>
      <c r="H924" s="4">
        <v>32</v>
      </c>
      <c r="I924" s="4" t="str" cm="1">
        <f t="array" ref="I924">_xlfn.IFS(H924&lt;30, "Young Adult", H924&lt;50, "Adult", H924&gt;=50, "Senior")</f>
        <v>Adult</v>
      </c>
      <c r="J924" s="4" t="s">
        <v>2</v>
      </c>
      <c r="K924" s="4">
        <v>3</v>
      </c>
      <c r="L924" s="16">
        <v>300</v>
      </c>
      <c r="M924" s="16">
        <f xml:space="preserve"> K924 * L924</f>
        <v>900</v>
      </c>
      <c r="N924" s="16">
        <f>M924 * $Q$3</f>
        <v>13.5</v>
      </c>
      <c r="O924" s="16">
        <f>M924 * $Q$4</f>
        <v>18</v>
      </c>
    </row>
    <row r="925" spans="1:15">
      <c r="A925" s="2">
        <v>924</v>
      </c>
      <c r="B925" s="4">
        <f>DAY(E925)</f>
        <v>29</v>
      </c>
      <c r="C925" s="4">
        <f>MONTH(E925)</f>
        <v>8</v>
      </c>
      <c r="D925" s="4">
        <f>YEAR(E925)</f>
        <v>2023</v>
      </c>
      <c r="E925" s="3">
        <v>45167</v>
      </c>
      <c r="F925" s="4" t="s">
        <v>955</v>
      </c>
      <c r="G925" s="4" t="s">
        <v>8</v>
      </c>
      <c r="H925" s="4">
        <v>55</v>
      </c>
      <c r="I925" s="4" t="str" cm="1">
        <f t="array" ref="I925">_xlfn.IFS(H925&lt;30, "Young Adult", H925&lt;50, "Adult", H925&gt;=50, "Senior")</f>
        <v>Senior</v>
      </c>
      <c r="J925" s="4" t="s">
        <v>2</v>
      </c>
      <c r="K925" s="4">
        <v>2</v>
      </c>
      <c r="L925" s="16">
        <v>50</v>
      </c>
      <c r="M925" s="16">
        <f xml:space="preserve"> K925 * L925</f>
        <v>100</v>
      </c>
      <c r="N925" s="16">
        <f>M925 * $Q$3</f>
        <v>1.5</v>
      </c>
      <c r="O925" s="16">
        <f>M925 * $Q$4</f>
        <v>2</v>
      </c>
    </row>
    <row r="926" spans="1:15">
      <c r="A926" s="2">
        <v>925</v>
      </c>
      <c r="B926" s="4">
        <f>DAY(E926)</f>
        <v>3</v>
      </c>
      <c r="C926" s="4">
        <f>MONTH(E926)</f>
        <v>9</v>
      </c>
      <c r="D926" s="4">
        <f>YEAR(E926)</f>
        <v>2023</v>
      </c>
      <c r="E926" s="3">
        <v>45172</v>
      </c>
      <c r="F926" s="4" t="s">
        <v>956</v>
      </c>
      <c r="G926" s="4" t="s">
        <v>8</v>
      </c>
      <c r="H926" s="4">
        <v>25</v>
      </c>
      <c r="I926" s="4" t="str" cm="1">
        <f t="array" ref="I926">_xlfn.IFS(H926&lt;30, "Young Adult", H926&lt;50, "Adult", H926&gt;=50, "Senior")</f>
        <v>Young Adult</v>
      </c>
      <c r="J926" s="4" t="s">
        <v>4</v>
      </c>
      <c r="K926" s="4">
        <v>1</v>
      </c>
      <c r="L926" s="16">
        <v>300</v>
      </c>
      <c r="M926" s="16">
        <f xml:space="preserve"> K926 * L926</f>
        <v>300</v>
      </c>
      <c r="N926" s="16">
        <f>M926 * $Q$3</f>
        <v>4.5</v>
      </c>
      <c r="O926" s="16">
        <f>M926 * $Q$4</f>
        <v>6</v>
      </c>
    </row>
    <row r="927" spans="1:15">
      <c r="A927" s="2">
        <v>926</v>
      </c>
      <c r="B927" s="4">
        <f>DAY(E927)</f>
        <v>14</v>
      </c>
      <c r="C927" s="4">
        <f>MONTH(E927)</f>
        <v>8</v>
      </c>
      <c r="D927" s="4">
        <f>YEAR(E927)</f>
        <v>2023</v>
      </c>
      <c r="E927" s="3">
        <v>45152</v>
      </c>
      <c r="F927" s="4" t="s">
        <v>957</v>
      </c>
      <c r="G927" s="4" t="s">
        <v>8</v>
      </c>
      <c r="H927" s="4">
        <v>22</v>
      </c>
      <c r="I927" s="4" t="str" cm="1">
        <f t="array" ref="I927">_xlfn.IFS(H927&lt;30, "Young Adult", H927&lt;50, "Adult", H927&gt;=50, "Senior")</f>
        <v>Young Adult</v>
      </c>
      <c r="J927" s="4" t="s">
        <v>4</v>
      </c>
      <c r="K927" s="4">
        <v>1</v>
      </c>
      <c r="L927" s="16">
        <v>30</v>
      </c>
      <c r="M927" s="16">
        <f xml:space="preserve"> K927 * L927</f>
        <v>30</v>
      </c>
      <c r="N927" s="16">
        <f>M927 * $Q$3</f>
        <v>0.44999999999999996</v>
      </c>
      <c r="O927" s="16">
        <f>M927 * $Q$4</f>
        <v>0.6</v>
      </c>
    </row>
    <row r="928" spans="1:15">
      <c r="A928" s="2">
        <v>927</v>
      </c>
      <c r="B928" s="4">
        <f>DAY(E928)</f>
        <v>24</v>
      </c>
      <c r="C928" s="4">
        <f>MONTH(E928)</f>
        <v>6</v>
      </c>
      <c r="D928" s="4">
        <f>YEAR(E928)</f>
        <v>2023</v>
      </c>
      <c r="E928" s="3">
        <v>45101</v>
      </c>
      <c r="F928" s="4" t="s">
        <v>958</v>
      </c>
      <c r="G928" s="4" t="s">
        <v>8</v>
      </c>
      <c r="H928" s="4">
        <v>43</v>
      </c>
      <c r="I928" s="4" t="str" cm="1">
        <f t="array" ref="I928">_xlfn.IFS(H928&lt;30, "Young Adult", H928&lt;50, "Adult", H928&gt;=50, "Senior")</f>
        <v>Adult</v>
      </c>
      <c r="J928" s="4" t="s">
        <v>4</v>
      </c>
      <c r="K928" s="4">
        <v>4</v>
      </c>
      <c r="L928" s="16">
        <v>500</v>
      </c>
      <c r="M928" s="16">
        <f xml:space="preserve"> K928 * L928</f>
        <v>2000</v>
      </c>
      <c r="N928" s="16">
        <f>M928 * $Q$3</f>
        <v>30</v>
      </c>
      <c r="O928" s="16">
        <f>M928 * $Q$4</f>
        <v>40</v>
      </c>
    </row>
    <row r="929" spans="1:15">
      <c r="A929" s="2">
        <v>928</v>
      </c>
      <c r="B929" s="4">
        <f>DAY(E929)</f>
        <v>5</v>
      </c>
      <c r="C929" s="4">
        <f>MONTH(E929)</f>
        <v>4</v>
      </c>
      <c r="D929" s="4">
        <f>YEAR(E929)</f>
        <v>2023</v>
      </c>
      <c r="E929" s="3">
        <v>45021</v>
      </c>
      <c r="F929" s="4" t="s">
        <v>959</v>
      </c>
      <c r="G929" s="4" t="s">
        <v>7</v>
      </c>
      <c r="H929" s="4">
        <v>35</v>
      </c>
      <c r="I929" s="4" t="str" cm="1">
        <f t="array" ref="I929">_xlfn.IFS(H929&lt;30, "Young Adult", H929&lt;50, "Adult", H929&gt;=50, "Senior")</f>
        <v>Adult</v>
      </c>
      <c r="J929" s="4" t="s">
        <v>3</v>
      </c>
      <c r="K929" s="4">
        <v>4</v>
      </c>
      <c r="L929" s="16">
        <v>300</v>
      </c>
      <c r="M929" s="16">
        <f xml:space="preserve"> K929 * L929</f>
        <v>1200</v>
      </c>
      <c r="N929" s="16">
        <f>M929 * $Q$3</f>
        <v>18</v>
      </c>
      <c r="O929" s="16">
        <f>M929 * $Q$4</f>
        <v>24</v>
      </c>
    </row>
    <row r="930" spans="1:15">
      <c r="A930" s="2">
        <v>929</v>
      </c>
      <c r="B930" s="4">
        <f>DAY(E930)</f>
        <v>27</v>
      </c>
      <c r="C930" s="4">
        <f>MONTH(E930)</f>
        <v>1</v>
      </c>
      <c r="D930" s="4">
        <f>YEAR(E930)</f>
        <v>2023</v>
      </c>
      <c r="E930" s="3">
        <v>44953</v>
      </c>
      <c r="F930" s="4" t="s">
        <v>960</v>
      </c>
      <c r="G930" s="4" t="s">
        <v>7</v>
      </c>
      <c r="H930" s="4">
        <v>23</v>
      </c>
      <c r="I930" s="4" t="str" cm="1">
        <f t="array" ref="I930">_xlfn.IFS(H930&lt;30, "Young Adult", H930&lt;50, "Adult", H930&gt;=50, "Senior")</f>
        <v>Young Adult</v>
      </c>
      <c r="J930" s="4" t="s">
        <v>2</v>
      </c>
      <c r="K930" s="4">
        <v>3</v>
      </c>
      <c r="L930" s="16">
        <v>25</v>
      </c>
      <c r="M930" s="16">
        <f xml:space="preserve"> K930 * L930</f>
        <v>75</v>
      </c>
      <c r="N930" s="16">
        <f>M930 * $Q$3</f>
        <v>1.125</v>
      </c>
      <c r="O930" s="16">
        <f>M930 * $Q$4</f>
        <v>1.5</v>
      </c>
    </row>
    <row r="931" spans="1:15">
      <c r="A931" s="2">
        <v>930</v>
      </c>
      <c r="B931" s="4">
        <f>DAY(E931)</f>
        <v>10</v>
      </c>
      <c r="C931" s="4">
        <f>MONTH(E931)</f>
        <v>5</v>
      </c>
      <c r="D931" s="4">
        <f>YEAR(E931)</f>
        <v>2023</v>
      </c>
      <c r="E931" s="3">
        <v>45056</v>
      </c>
      <c r="F931" s="4" t="s">
        <v>961</v>
      </c>
      <c r="G931" s="4" t="s">
        <v>8</v>
      </c>
      <c r="H931" s="4">
        <v>54</v>
      </c>
      <c r="I931" s="4" t="str" cm="1">
        <f t="array" ref="I931">_xlfn.IFS(H931&lt;30, "Young Adult", H931&lt;50, "Adult", H931&gt;=50, "Senior")</f>
        <v>Senior</v>
      </c>
      <c r="J931" s="4" t="s">
        <v>3</v>
      </c>
      <c r="K931" s="4">
        <v>4</v>
      </c>
      <c r="L931" s="16">
        <v>50</v>
      </c>
      <c r="M931" s="16">
        <f xml:space="preserve"> K931 * L931</f>
        <v>200</v>
      </c>
      <c r="N931" s="16">
        <f>M931 * $Q$3</f>
        <v>3</v>
      </c>
      <c r="O931" s="16">
        <f>M931 * $Q$4</f>
        <v>4</v>
      </c>
    </row>
    <row r="932" spans="1:15">
      <c r="A932" s="2">
        <v>931</v>
      </c>
      <c r="B932" s="4">
        <f>DAY(E932)</f>
        <v>2</v>
      </c>
      <c r="C932" s="4">
        <f>MONTH(E932)</f>
        <v>9</v>
      </c>
      <c r="D932" s="4">
        <f>YEAR(E932)</f>
        <v>2023</v>
      </c>
      <c r="E932" s="3">
        <v>45171</v>
      </c>
      <c r="F932" s="4" t="s">
        <v>962</v>
      </c>
      <c r="G932" s="4" t="s">
        <v>8</v>
      </c>
      <c r="H932" s="4">
        <v>30</v>
      </c>
      <c r="I932" s="4" t="str" cm="1">
        <f t="array" ref="I932">_xlfn.IFS(H932&lt;30, "Young Adult", H932&lt;50, "Adult", H932&gt;=50, "Senior")</f>
        <v>Adult</v>
      </c>
      <c r="J932" s="4" t="s">
        <v>2</v>
      </c>
      <c r="K932" s="4">
        <v>4</v>
      </c>
      <c r="L932" s="16">
        <v>30</v>
      </c>
      <c r="M932" s="16">
        <f xml:space="preserve"> K932 * L932</f>
        <v>120</v>
      </c>
      <c r="N932" s="16">
        <f>M932 * $Q$3</f>
        <v>1.7999999999999998</v>
      </c>
      <c r="O932" s="16">
        <f>M932 * $Q$4</f>
        <v>2.4</v>
      </c>
    </row>
    <row r="933" spans="1:15">
      <c r="A933" s="2">
        <v>932</v>
      </c>
      <c r="B933" s="4">
        <f>DAY(E933)</f>
        <v>28</v>
      </c>
      <c r="C933" s="4">
        <f>MONTH(E933)</f>
        <v>2</v>
      </c>
      <c r="D933" s="4">
        <f>YEAR(E933)</f>
        <v>2023</v>
      </c>
      <c r="E933" s="3">
        <v>44985</v>
      </c>
      <c r="F933" s="4" t="s">
        <v>963</v>
      </c>
      <c r="G933" s="4" t="s">
        <v>7</v>
      </c>
      <c r="H933" s="4">
        <v>45</v>
      </c>
      <c r="I933" s="4" t="str" cm="1">
        <f t="array" ref="I933">_xlfn.IFS(H933&lt;30, "Young Adult", H933&lt;50, "Adult", H933&gt;=50, "Senior")</f>
        <v>Adult</v>
      </c>
      <c r="J933" s="4" t="s">
        <v>2</v>
      </c>
      <c r="K933" s="4">
        <v>4</v>
      </c>
      <c r="L933" s="16">
        <v>25</v>
      </c>
      <c r="M933" s="16">
        <f xml:space="preserve"> K933 * L933</f>
        <v>100</v>
      </c>
      <c r="N933" s="16">
        <f>M933 * $Q$3</f>
        <v>1.5</v>
      </c>
      <c r="O933" s="16">
        <f>M933 * $Q$4</f>
        <v>2</v>
      </c>
    </row>
    <row r="934" spans="1:15">
      <c r="A934" s="2">
        <v>933</v>
      </c>
      <c r="B934" s="4">
        <f>DAY(E934)</f>
        <v>3</v>
      </c>
      <c r="C934" s="4">
        <f>MONTH(E934)</f>
        <v>2</v>
      </c>
      <c r="D934" s="4">
        <f>YEAR(E934)</f>
        <v>2023</v>
      </c>
      <c r="E934" s="3">
        <v>44960</v>
      </c>
      <c r="F934" s="4" t="s">
        <v>964</v>
      </c>
      <c r="G934" s="4" t="s">
        <v>8</v>
      </c>
      <c r="H934" s="4">
        <v>22</v>
      </c>
      <c r="I934" s="4" t="str" cm="1">
        <f t="array" ref="I934">_xlfn.IFS(H934&lt;30, "Young Adult", H934&lt;50, "Adult", H934&gt;=50, "Senior")</f>
        <v>Young Adult</v>
      </c>
      <c r="J934" s="4" t="s">
        <v>2</v>
      </c>
      <c r="K934" s="4">
        <v>1</v>
      </c>
      <c r="L934" s="16">
        <v>30</v>
      </c>
      <c r="M934" s="16">
        <f xml:space="preserve"> K934 * L934</f>
        <v>30</v>
      </c>
      <c r="N934" s="16">
        <f>M934 * $Q$3</f>
        <v>0.44999999999999996</v>
      </c>
      <c r="O934" s="16">
        <f>M934 * $Q$4</f>
        <v>0.6</v>
      </c>
    </row>
    <row r="935" spans="1:15">
      <c r="A935" s="2">
        <v>934</v>
      </c>
      <c r="B935" s="4">
        <f>DAY(E935)</f>
        <v>25</v>
      </c>
      <c r="C935" s="4">
        <f>MONTH(E935)</f>
        <v>7</v>
      </c>
      <c r="D935" s="4">
        <f>YEAR(E935)</f>
        <v>2023</v>
      </c>
      <c r="E935" s="3">
        <v>45132</v>
      </c>
      <c r="F935" s="4" t="s">
        <v>965</v>
      </c>
      <c r="G935" s="4" t="s">
        <v>8</v>
      </c>
      <c r="H935" s="4">
        <v>30</v>
      </c>
      <c r="I935" s="4" t="str" cm="1">
        <f t="array" ref="I935">_xlfn.IFS(H935&lt;30, "Young Adult", H935&lt;50, "Adult", H935&gt;=50, "Senior")</f>
        <v>Adult</v>
      </c>
      <c r="J935" s="4" t="s">
        <v>2</v>
      </c>
      <c r="K935" s="4">
        <v>1</v>
      </c>
      <c r="L935" s="16">
        <v>500</v>
      </c>
      <c r="M935" s="16">
        <f xml:space="preserve"> K935 * L935</f>
        <v>500</v>
      </c>
      <c r="N935" s="16">
        <f>M935 * $Q$3</f>
        <v>7.5</v>
      </c>
      <c r="O935" s="16">
        <f>M935 * $Q$4</f>
        <v>10</v>
      </c>
    </row>
    <row r="936" spans="1:15">
      <c r="A936" s="2">
        <v>935</v>
      </c>
      <c r="B936" s="4">
        <f>DAY(E936)</f>
        <v>9</v>
      </c>
      <c r="C936" s="4">
        <f>MONTH(E936)</f>
        <v>9</v>
      </c>
      <c r="D936" s="4">
        <f>YEAR(E936)</f>
        <v>2023</v>
      </c>
      <c r="E936" s="3">
        <v>45178</v>
      </c>
      <c r="F936" s="4" t="s">
        <v>966</v>
      </c>
      <c r="G936" s="4" t="s">
        <v>7</v>
      </c>
      <c r="H936" s="4">
        <v>34</v>
      </c>
      <c r="I936" s="4" t="str" cm="1">
        <f t="array" ref="I936">_xlfn.IFS(H936&lt;30, "Young Adult", H936&lt;50, "Adult", H936&gt;=50, "Senior")</f>
        <v>Adult</v>
      </c>
      <c r="J936" s="4" t="s">
        <v>2</v>
      </c>
      <c r="K936" s="4">
        <v>1</v>
      </c>
      <c r="L936" s="16">
        <v>50</v>
      </c>
      <c r="M936" s="16">
        <f xml:space="preserve"> K936 * L936</f>
        <v>50</v>
      </c>
      <c r="N936" s="16">
        <f>M936 * $Q$3</f>
        <v>0.75</v>
      </c>
      <c r="O936" s="16">
        <f>M936 * $Q$4</f>
        <v>1</v>
      </c>
    </row>
    <row r="937" spans="1:15">
      <c r="A937" s="2">
        <v>936</v>
      </c>
      <c r="B937" s="4">
        <f>DAY(E937)</f>
        <v>7</v>
      </c>
      <c r="C937" s="4">
        <f>MONTH(E937)</f>
        <v>2</v>
      </c>
      <c r="D937" s="4">
        <f>YEAR(E937)</f>
        <v>2023</v>
      </c>
      <c r="E937" s="3">
        <v>44964</v>
      </c>
      <c r="F937" s="4" t="s">
        <v>967</v>
      </c>
      <c r="G937" s="4" t="s">
        <v>8</v>
      </c>
      <c r="H937" s="4">
        <v>57</v>
      </c>
      <c r="I937" s="4" t="str" cm="1">
        <f t="array" ref="I937">_xlfn.IFS(H937&lt;30, "Young Adult", H937&lt;50, "Adult", H937&gt;=50, "Senior")</f>
        <v>Senior</v>
      </c>
      <c r="J937" s="4" t="s">
        <v>2</v>
      </c>
      <c r="K937" s="4">
        <v>4</v>
      </c>
      <c r="L937" s="16">
        <v>50</v>
      </c>
      <c r="M937" s="16">
        <f xml:space="preserve"> K937 * L937</f>
        <v>200</v>
      </c>
      <c r="N937" s="16">
        <f>M937 * $Q$3</f>
        <v>3</v>
      </c>
      <c r="O937" s="16">
        <f>M937 * $Q$4</f>
        <v>4</v>
      </c>
    </row>
    <row r="938" spans="1:15">
      <c r="A938" s="2">
        <v>937</v>
      </c>
      <c r="B938" s="4">
        <f>DAY(E938)</f>
        <v>23</v>
      </c>
      <c r="C938" s="4">
        <f>MONTH(E938)</f>
        <v>10</v>
      </c>
      <c r="D938" s="4">
        <f>YEAR(E938)</f>
        <v>2023</v>
      </c>
      <c r="E938" s="3">
        <v>45222</v>
      </c>
      <c r="F938" s="4" t="s">
        <v>968</v>
      </c>
      <c r="G938" s="4" t="s">
        <v>7</v>
      </c>
      <c r="H938" s="4">
        <v>62</v>
      </c>
      <c r="I938" s="4" t="str" cm="1">
        <f t="array" ref="I938">_xlfn.IFS(H938&lt;30, "Young Adult", H938&lt;50, "Adult", H938&gt;=50, "Senior")</f>
        <v>Senior</v>
      </c>
      <c r="J938" s="4" t="s">
        <v>2</v>
      </c>
      <c r="K938" s="4">
        <v>1</v>
      </c>
      <c r="L938" s="16">
        <v>500</v>
      </c>
      <c r="M938" s="16">
        <f xml:space="preserve"> K938 * L938</f>
        <v>500</v>
      </c>
      <c r="N938" s="16">
        <f>M938 * $Q$3</f>
        <v>7.5</v>
      </c>
      <c r="O938" s="16">
        <f>M938 * $Q$4</f>
        <v>10</v>
      </c>
    </row>
    <row r="939" spans="1:15">
      <c r="A939" s="2">
        <v>938</v>
      </c>
      <c r="B939" s="4">
        <f>DAY(E939)</f>
        <v>19</v>
      </c>
      <c r="C939" s="4">
        <f>MONTH(E939)</f>
        <v>11</v>
      </c>
      <c r="D939" s="4">
        <f>YEAR(E939)</f>
        <v>2023</v>
      </c>
      <c r="E939" s="3">
        <v>45249</v>
      </c>
      <c r="F939" s="4" t="s">
        <v>969</v>
      </c>
      <c r="G939" s="4" t="s">
        <v>8</v>
      </c>
      <c r="H939" s="4">
        <v>49</v>
      </c>
      <c r="I939" s="4" t="str" cm="1">
        <f t="array" ref="I939">_xlfn.IFS(H939&lt;30, "Young Adult", H939&lt;50, "Adult", H939&gt;=50, "Senior")</f>
        <v>Adult</v>
      </c>
      <c r="J939" s="4" t="s">
        <v>3</v>
      </c>
      <c r="K939" s="4">
        <v>4</v>
      </c>
      <c r="L939" s="16">
        <v>50</v>
      </c>
      <c r="M939" s="16">
        <f xml:space="preserve"> K939 * L939</f>
        <v>200</v>
      </c>
      <c r="N939" s="16">
        <f>M939 * $Q$3</f>
        <v>3</v>
      </c>
      <c r="O939" s="16">
        <f>M939 * $Q$4</f>
        <v>4</v>
      </c>
    </row>
    <row r="940" spans="1:15">
      <c r="A940" s="2">
        <v>939</v>
      </c>
      <c r="B940" s="4">
        <f>DAY(E940)</f>
        <v>18</v>
      </c>
      <c r="C940" s="4">
        <f>MONTH(E940)</f>
        <v>12</v>
      </c>
      <c r="D940" s="4">
        <f>YEAR(E940)</f>
        <v>2023</v>
      </c>
      <c r="E940" s="3">
        <v>45278</v>
      </c>
      <c r="F940" s="4" t="s">
        <v>970</v>
      </c>
      <c r="G940" s="4" t="s">
        <v>7</v>
      </c>
      <c r="H940" s="4">
        <v>46</v>
      </c>
      <c r="I940" s="4" t="str" cm="1">
        <f t="array" ref="I940">_xlfn.IFS(H940&lt;30, "Young Adult", H940&lt;50, "Adult", H940&gt;=50, "Senior")</f>
        <v>Adult</v>
      </c>
      <c r="J940" s="4" t="s">
        <v>4</v>
      </c>
      <c r="K940" s="4">
        <v>1</v>
      </c>
      <c r="L940" s="16">
        <v>300</v>
      </c>
      <c r="M940" s="16">
        <f xml:space="preserve"> K940 * L940</f>
        <v>300</v>
      </c>
      <c r="N940" s="16">
        <f>M940 * $Q$3</f>
        <v>4.5</v>
      </c>
      <c r="O940" s="16">
        <f>M940 * $Q$4</f>
        <v>6</v>
      </c>
    </row>
    <row r="941" spans="1:15">
      <c r="A941" s="2">
        <v>940</v>
      </c>
      <c r="B941" s="4">
        <f>DAY(E941)</f>
        <v>28</v>
      </c>
      <c r="C941" s="4">
        <f>MONTH(E941)</f>
        <v>1</v>
      </c>
      <c r="D941" s="4">
        <f>YEAR(E941)</f>
        <v>2023</v>
      </c>
      <c r="E941" s="3">
        <v>44954</v>
      </c>
      <c r="F941" s="4" t="s">
        <v>971</v>
      </c>
      <c r="G941" s="4" t="s">
        <v>7</v>
      </c>
      <c r="H941" s="4">
        <v>20</v>
      </c>
      <c r="I941" s="4" t="str" cm="1">
        <f t="array" ref="I941">_xlfn.IFS(H941&lt;30, "Young Adult", H941&lt;50, "Adult", H941&gt;=50, "Senior")</f>
        <v>Young Adult</v>
      </c>
      <c r="J941" s="4" t="s">
        <v>4</v>
      </c>
      <c r="K941" s="4">
        <v>1</v>
      </c>
      <c r="L941" s="16">
        <v>30</v>
      </c>
      <c r="M941" s="16">
        <f xml:space="preserve"> K941 * L941</f>
        <v>30</v>
      </c>
      <c r="N941" s="16">
        <f>M941 * $Q$3</f>
        <v>0.44999999999999996</v>
      </c>
      <c r="O941" s="16">
        <f>M941 * $Q$4</f>
        <v>0.6</v>
      </c>
    </row>
    <row r="942" spans="1:15">
      <c r="A942" s="2">
        <v>941</v>
      </c>
      <c r="B942" s="4">
        <f>DAY(E942)</f>
        <v>19</v>
      </c>
      <c r="C942" s="4">
        <f>MONTH(E942)</f>
        <v>3</v>
      </c>
      <c r="D942" s="4">
        <f>YEAR(E942)</f>
        <v>2023</v>
      </c>
      <c r="E942" s="3">
        <v>45004</v>
      </c>
      <c r="F942" s="4" t="s">
        <v>972</v>
      </c>
      <c r="G942" s="4" t="s">
        <v>7</v>
      </c>
      <c r="H942" s="4">
        <v>57</v>
      </c>
      <c r="I942" s="4" t="str" cm="1">
        <f t="array" ref="I942">_xlfn.IFS(H942&lt;30, "Young Adult", H942&lt;50, "Adult", H942&gt;=50, "Senior")</f>
        <v>Senior</v>
      </c>
      <c r="J942" s="4" t="s">
        <v>3</v>
      </c>
      <c r="K942" s="4">
        <v>2</v>
      </c>
      <c r="L942" s="16">
        <v>25</v>
      </c>
      <c r="M942" s="16">
        <f xml:space="preserve"> K942 * L942</f>
        <v>50</v>
      </c>
      <c r="N942" s="16">
        <f>M942 * $Q$3</f>
        <v>0.75</v>
      </c>
      <c r="O942" s="16">
        <f>M942 * $Q$4</f>
        <v>1</v>
      </c>
    </row>
    <row r="943" spans="1:15">
      <c r="A943" s="2">
        <v>942</v>
      </c>
      <c r="B943" s="4">
        <f>DAY(E943)</f>
        <v>18</v>
      </c>
      <c r="C943" s="4">
        <f>MONTH(E943)</f>
        <v>3</v>
      </c>
      <c r="D943" s="4">
        <f>YEAR(E943)</f>
        <v>2023</v>
      </c>
      <c r="E943" s="3">
        <v>45003</v>
      </c>
      <c r="F943" s="4" t="s">
        <v>973</v>
      </c>
      <c r="G943" s="4" t="s">
        <v>8</v>
      </c>
      <c r="H943" s="4">
        <v>51</v>
      </c>
      <c r="I943" s="4" t="str" cm="1">
        <f t="array" ref="I943">_xlfn.IFS(H943&lt;30, "Young Adult", H943&lt;50, "Adult", H943&gt;=50, "Senior")</f>
        <v>Senior</v>
      </c>
      <c r="J943" s="4" t="s">
        <v>3</v>
      </c>
      <c r="K943" s="4">
        <v>3</v>
      </c>
      <c r="L943" s="16">
        <v>500</v>
      </c>
      <c r="M943" s="16">
        <f xml:space="preserve"> K943 * L943</f>
        <v>1500</v>
      </c>
      <c r="N943" s="16">
        <f>M943 * $Q$3</f>
        <v>22.5</v>
      </c>
      <c r="O943" s="16">
        <f>M943 * $Q$4</f>
        <v>30</v>
      </c>
    </row>
    <row r="944" spans="1:15">
      <c r="A944" s="2">
        <v>943</v>
      </c>
      <c r="B944" s="4">
        <f>DAY(E944)</f>
        <v>16</v>
      </c>
      <c r="C944" s="4">
        <f>MONTH(E944)</f>
        <v>10</v>
      </c>
      <c r="D944" s="4">
        <f>YEAR(E944)</f>
        <v>2023</v>
      </c>
      <c r="E944" s="3">
        <v>45215</v>
      </c>
      <c r="F944" s="4" t="s">
        <v>974</v>
      </c>
      <c r="G944" s="4" t="s">
        <v>7</v>
      </c>
      <c r="H944" s="4">
        <v>57</v>
      </c>
      <c r="I944" s="4" t="str" cm="1">
        <f t="array" ref="I944">_xlfn.IFS(H944&lt;30, "Young Adult", H944&lt;50, "Adult", H944&gt;=50, "Senior")</f>
        <v>Senior</v>
      </c>
      <c r="J944" s="4" t="s">
        <v>3</v>
      </c>
      <c r="K944" s="4">
        <v>4</v>
      </c>
      <c r="L944" s="16">
        <v>300</v>
      </c>
      <c r="M944" s="16">
        <f xml:space="preserve"> K944 * L944</f>
        <v>1200</v>
      </c>
      <c r="N944" s="16">
        <f>M944 * $Q$3</f>
        <v>18</v>
      </c>
      <c r="O944" s="16">
        <f>M944 * $Q$4</f>
        <v>24</v>
      </c>
    </row>
    <row r="945" spans="1:15">
      <c r="A945" s="2">
        <v>944</v>
      </c>
      <c r="B945" s="4">
        <f>DAY(E945)</f>
        <v>5</v>
      </c>
      <c r="C945" s="4">
        <f>MONTH(E945)</f>
        <v>6</v>
      </c>
      <c r="D945" s="4">
        <f>YEAR(E945)</f>
        <v>2023</v>
      </c>
      <c r="E945" s="3">
        <v>45082</v>
      </c>
      <c r="F945" s="4" t="s">
        <v>975</v>
      </c>
      <c r="G945" s="4" t="s">
        <v>8</v>
      </c>
      <c r="H945" s="4">
        <v>44</v>
      </c>
      <c r="I945" s="4" t="str" cm="1">
        <f t="array" ref="I945">_xlfn.IFS(H945&lt;30, "Young Adult", H945&lt;50, "Adult", H945&gt;=50, "Senior")</f>
        <v>Adult</v>
      </c>
      <c r="J945" s="4" t="s">
        <v>3</v>
      </c>
      <c r="K945" s="4">
        <v>2</v>
      </c>
      <c r="L945" s="16">
        <v>25</v>
      </c>
      <c r="M945" s="16">
        <f xml:space="preserve"> K945 * L945</f>
        <v>50</v>
      </c>
      <c r="N945" s="16">
        <f>M945 * $Q$3</f>
        <v>0.75</v>
      </c>
      <c r="O945" s="16">
        <f>M945 * $Q$4</f>
        <v>1</v>
      </c>
    </row>
    <row r="946" spans="1:15">
      <c r="A946" s="2">
        <v>945</v>
      </c>
      <c r="B946" s="4">
        <f>DAY(E946)</f>
        <v>13</v>
      </c>
      <c r="C946" s="4">
        <f>MONTH(E946)</f>
        <v>2</v>
      </c>
      <c r="D946" s="4">
        <f>YEAR(E946)</f>
        <v>2023</v>
      </c>
      <c r="E946" s="3">
        <v>44970</v>
      </c>
      <c r="F946" s="4" t="s">
        <v>976</v>
      </c>
      <c r="G946" s="4" t="s">
        <v>8</v>
      </c>
      <c r="H946" s="4">
        <v>30</v>
      </c>
      <c r="I946" s="4" t="str" cm="1">
        <f t="array" ref="I946">_xlfn.IFS(H946&lt;30, "Young Adult", H946&lt;50, "Adult", H946&gt;=50, "Senior")</f>
        <v>Adult</v>
      </c>
      <c r="J946" s="4" t="s">
        <v>2</v>
      </c>
      <c r="K946" s="4">
        <v>1</v>
      </c>
      <c r="L946" s="16">
        <v>25</v>
      </c>
      <c r="M946" s="16">
        <f xml:space="preserve"> K946 * L946</f>
        <v>25</v>
      </c>
      <c r="N946" s="16">
        <f>M946 * $Q$3</f>
        <v>0.375</v>
      </c>
      <c r="O946" s="16">
        <f>M946 * $Q$4</f>
        <v>0.5</v>
      </c>
    </row>
    <row r="947" spans="1:15">
      <c r="A947" s="2">
        <v>946</v>
      </c>
      <c r="B947" s="4">
        <f>DAY(E947)</f>
        <v>8</v>
      </c>
      <c r="C947" s="4">
        <f>MONTH(E947)</f>
        <v>5</v>
      </c>
      <c r="D947" s="4">
        <f>YEAR(E947)</f>
        <v>2023</v>
      </c>
      <c r="E947" s="3">
        <v>45054</v>
      </c>
      <c r="F947" s="4" t="s">
        <v>977</v>
      </c>
      <c r="G947" s="4" t="s">
        <v>8</v>
      </c>
      <c r="H947" s="4">
        <v>62</v>
      </c>
      <c r="I947" s="4" t="str" cm="1">
        <f t="array" ref="I947">_xlfn.IFS(H947&lt;30, "Young Adult", H947&lt;50, "Adult", H947&gt;=50, "Senior")</f>
        <v>Senior</v>
      </c>
      <c r="J947" s="4" t="s">
        <v>4</v>
      </c>
      <c r="K947" s="4">
        <v>4</v>
      </c>
      <c r="L947" s="16">
        <v>500</v>
      </c>
      <c r="M947" s="16">
        <f xml:space="preserve"> K947 * L947</f>
        <v>2000</v>
      </c>
      <c r="N947" s="16">
        <f>M947 * $Q$3</f>
        <v>30</v>
      </c>
      <c r="O947" s="16">
        <f>M947 * $Q$4</f>
        <v>40</v>
      </c>
    </row>
    <row r="948" spans="1:15">
      <c r="A948" s="2">
        <v>947</v>
      </c>
      <c r="B948" s="4">
        <f>DAY(E948)</f>
        <v>2</v>
      </c>
      <c r="C948" s="4">
        <f>MONTH(E948)</f>
        <v>3</v>
      </c>
      <c r="D948" s="4">
        <f>YEAR(E948)</f>
        <v>2023</v>
      </c>
      <c r="E948" s="3">
        <v>44987</v>
      </c>
      <c r="F948" s="4" t="s">
        <v>978</v>
      </c>
      <c r="G948" s="4" t="s">
        <v>8</v>
      </c>
      <c r="H948" s="4">
        <v>50</v>
      </c>
      <c r="I948" s="4" t="str" cm="1">
        <f t="array" ref="I948">_xlfn.IFS(H948&lt;30, "Young Adult", H948&lt;50, "Adult", H948&gt;=50, "Senior")</f>
        <v>Senior</v>
      </c>
      <c r="J948" s="4" t="s">
        <v>2</v>
      </c>
      <c r="K948" s="4">
        <v>1</v>
      </c>
      <c r="L948" s="16">
        <v>300</v>
      </c>
      <c r="M948" s="16">
        <f xml:space="preserve"> K948 * L948</f>
        <v>300</v>
      </c>
      <c r="N948" s="16">
        <f>M948 * $Q$3</f>
        <v>4.5</v>
      </c>
      <c r="O948" s="16">
        <f>M948 * $Q$4</f>
        <v>6</v>
      </c>
    </row>
    <row r="949" spans="1:15">
      <c r="A949" s="2">
        <v>948</v>
      </c>
      <c r="B949" s="4">
        <f>DAY(E949)</f>
        <v>13</v>
      </c>
      <c r="C949" s="4">
        <f>MONTH(E949)</f>
        <v>10</v>
      </c>
      <c r="D949" s="4">
        <f>YEAR(E949)</f>
        <v>2023</v>
      </c>
      <c r="E949" s="3">
        <v>45212</v>
      </c>
      <c r="F949" s="4" t="s">
        <v>979</v>
      </c>
      <c r="G949" s="4" t="s">
        <v>7</v>
      </c>
      <c r="H949" s="4">
        <v>23</v>
      </c>
      <c r="I949" s="4" t="str" cm="1">
        <f t="array" ref="I949">_xlfn.IFS(H949&lt;30, "Young Adult", H949&lt;50, "Adult", H949&gt;=50, "Senior")</f>
        <v>Young Adult</v>
      </c>
      <c r="J949" s="4" t="s">
        <v>4</v>
      </c>
      <c r="K949" s="4">
        <v>3</v>
      </c>
      <c r="L949" s="16">
        <v>25</v>
      </c>
      <c r="M949" s="16">
        <f xml:space="preserve"> K949 * L949</f>
        <v>75</v>
      </c>
      <c r="N949" s="16">
        <f>M949 * $Q$3</f>
        <v>1.125</v>
      </c>
      <c r="O949" s="16">
        <f>M949 * $Q$4</f>
        <v>1.5</v>
      </c>
    </row>
    <row r="950" spans="1:15">
      <c r="A950" s="2">
        <v>949</v>
      </c>
      <c r="B950" s="4">
        <f>DAY(E950)</f>
        <v>2</v>
      </c>
      <c r="C950" s="4">
        <f>MONTH(E950)</f>
        <v>8</v>
      </c>
      <c r="D950" s="4">
        <f>YEAR(E950)</f>
        <v>2023</v>
      </c>
      <c r="E950" s="3">
        <v>45140</v>
      </c>
      <c r="F950" s="4" t="s">
        <v>980</v>
      </c>
      <c r="G950" s="4" t="s">
        <v>7</v>
      </c>
      <c r="H950" s="4">
        <v>41</v>
      </c>
      <c r="I950" s="4" t="str" cm="1">
        <f t="array" ref="I950">_xlfn.IFS(H950&lt;30, "Young Adult", H950&lt;50, "Adult", H950&gt;=50, "Senior")</f>
        <v>Adult</v>
      </c>
      <c r="J950" s="4" t="s">
        <v>4</v>
      </c>
      <c r="K950" s="4">
        <v>2</v>
      </c>
      <c r="L950" s="16">
        <v>25</v>
      </c>
      <c r="M950" s="16">
        <f xml:space="preserve"> K950 * L950</f>
        <v>50</v>
      </c>
      <c r="N950" s="16">
        <f>M950 * $Q$3</f>
        <v>0.75</v>
      </c>
      <c r="O950" s="16">
        <f>M950 * $Q$4</f>
        <v>1</v>
      </c>
    </row>
    <row r="951" spans="1:15">
      <c r="A951" s="2">
        <v>950</v>
      </c>
      <c r="B951" s="4">
        <f>DAY(E951)</f>
        <v>7</v>
      </c>
      <c r="C951" s="4">
        <f>MONTH(E951)</f>
        <v>11</v>
      </c>
      <c r="D951" s="4">
        <f>YEAR(E951)</f>
        <v>2023</v>
      </c>
      <c r="E951" s="3">
        <v>45237</v>
      </c>
      <c r="F951" s="4" t="s">
        <v>981</v>
      </c>
      <c r="G951" s="4" t="s">
        <v>8</v>
      </c>
      <c r="H951" s="4">
        <v>36</v>
      </c>
      <c r="I951" s="4" t="str" cm="1">
        <f t="array" ref="I951">_xlfn.IFS(H951&lt;30, "Young Adult", H951&lt;50, "Adult", H951&gt;=50, "Senior")</f>
        <v>Adult</v>
      </c>
      <c r="J951" s="4" t="s">
        <v>3</v>
      </c>
      <c r="K951" s="4">
        <v>3</v>
      </c>
      <c r="L951" s="16">
        <v>300</v>
      </c>
      <c r="M951" s="16">
        <f xml:space="preserve"> K951 * L951</f>
        <v>900</v>
      </c>
      <c r="N951" s="16">
        <f>M951 * $Q$3</f>
        <v>13.5</v>
      </c>
      <c r="O951" s="16">
        <f>M951 * $Q$4</f>
        <v>18</v>
      </c>
    </row>
    <row r="952" spans="1:15">
      <c r="A952" s="2">
        <v>951</v>
      </c>
      <c r="B952" s="4">
        <f>DAY(E952)</f>
        <v>2</v>
      </c>
      <c r="C952" s="4">
        <f>MONTH(E952)</f>
        <v>11</v>
      </c>
      <c r="D952" s="4">
        <f>YEAR(E952)</f>
        <v>2023</v>
      </c>
      <c r="E952" s="3">
        <v>45232</v>
      </c>
      <c r="F952" s="4" t="s">
        <v>982</v>
      </c>
      <c r="G952" s="4" t="s">
        <v>8</v>
      </c>
      <c r="H952" s="4">
        <v>33</v>
      </c>
      <c r="I952" s="4" t="str" cm="1">
        <f t="array" ref="I952">_xlfn.IFS(H952&lt;30, "Young Adult", H952&lt;50, "Adult", H952&gt;=50, "Senior")</f>
        <v>Adult</v>
      </c>
      <c r="J952" s="4" t="s">
        <v>2</v>
      </c>
      <c r="K952" s="4">
        <v>2</v>
      </c>
      <c r="L952" s="16">
        <v>50</v>
      </c>
      <c r="M952" s="16">
        <f xml:space="preserve"> K952 * L952</f>
        <v>100</v>
      </c>
      <c r="N952" s="16">
        <f>M952 * $Q$3</f>
        <v>1.5</v>
      </c>
      <c r="O952" s="16">
        <f>M952 * $Q$4</f>
        <v>2</v>
      </c>
    </row>
    <row r="953" spans="1:15">
      <c r="A953" s="2">
        <v>952</v>
      </c>
      <c r="B953" s="4">
        <f>DAY(E953)</f>
        <v>13</v>
      </c>
      <c r="C953" s="4">
        <f>MONTH(E953)</f>
        <v>11</v>
      </c>
      <c r="D953" s="4">
        <f>YEAR(E953)</f>
        <v>2023</v>
      </c>
      <c r="E953" s="3">
        <v>45243</v>
      </c>
      <c r="F953" s="4" t="s">
        <v>983</v>
      </c>
      <c r="G953" s="4" t="s">
        <v>7</v>
      </c>
      <c r="H953" s="4">
        <v>57</v>
      </c>
      <c r="I953" s="4" t="str" cm="1">
        <f t="array" ref="I953">_xlfn.IFS(H953&lt;30, "Young Adult", H953&lt;50, "Adult", H953&gt;=50, "Senior")</f>
        <v>Senior</v>
      </c>
      <c r="J953" s="4" t="s">
        <v>3</v>
      </c>
      <c r="K953" s="4">
        <v>1</v>
      </c>
      <c r="L953" s="16">
        <v>25</v>
      </c>
      <c r="M953" s="16">
        <f xml:space="preserve"> K953 * L953</f>
        <v>25</v>
      </c>
      <c r="N953" s="16">
        <f>M953 * $Q$3</f>
        <v>0.375</v>
      </c>
      <c r="O953" s="16">
        <f>M953 * $Q$4</f>
        <v>0.5</v>
      </c>
    </row>
    <row r="954" spans="1:15">
      <c r="A954" s="2">
        <v>953</v>
      </c>
      <c r="B954" s="4">
        <f>DAY(E954)</f>
        <v>26</v>
      </c>
      <c r="C954" s="4">
        <f>MONTH(E954)</f>
        <v>4</v>
      </c>
      <c r="D954" s="4">
        <f>YEAR(E954)</f>
        <v>2023</v>
      </c>
      <c r="E954" s="3">
        <v>45042</v>
      </c>
      <c r="F954" s="4" t="s">
        <v>984</v>
      </c>
      <c r="G954" s="4" t="s">
        <v>8</v>
      </c>
      <c r="H954" s="4">
        <v>45</v>
      </c>
      <c r="I954" s="4" t="str" cm="1">
        <f t="array" ref="I954">_xlfn.IFS(H954&lt;30, "Young Adult", H954&lt;50, "Adult", H954&gt;=50, "Senior")</f>
        <v>Adult</v>
      </c>
      <c r="J954" s="4" t="s">
        <v>2</v>
      </c>
      <c r="K954" s="4">
        <v>3</v>
      </c>
      <c r="L954" s="16">
        <v>30</v>
      </c>
      <c r="M954" s="16">
        <f xml:space="preserve"> K954 * L954</f>
        <v>90</v>
      </c>
      <c r="N954" s="16">
        <f>M954 * $Q$3</f>
        <v>1.3499999999999999</v>
      </c>
      <c r="O954" s="16">
        <f>M954 * $Q$4</f>
        <v>1.8</v>
      </c>
    </row>
    <row r="955" spans="1:15">
      <c r="A955" s="2">
        <v>954</v>
      </c>
      <c r="B955" s="4">
        <f>DAY(E955)</f>
        <v>25</v>
      </c>
      <c r="C955" s="4">
        <f>MONTH(E955)</f>
        <v>9</v>
      </c>
      <c r="D955" s="4">
        <f>YEAR(E955)</f>
        <v>2023</v>
      </c>
      <c r="E955" s="3">
        <v>45194</v>
      </c>
      <c r="F955" s="4" t="s">
        <v>985</v>
      </c>
      <c r="G955" s="4" t="s">
        <v>7</v>
      </c>
      <c r="H955" s="4">
        <v>50</v>
      </c>
      <c r="I955" s="4" t="str" cm="1">
        <f t="array" ref="I955">_xlfn.IFS(H955&lt;30, "Young Adult", H955&lt;50, "Adult", H955&gt;=50, "Senior")</f>
        <v>Senior</v>
      </c>
      <c r="J955" s="4" t="s">
        <v>4</v>
      </c>
      <c r="K955" s="4">
        <v>3</v>
      </c>
      <c r="L955" s="16">
        <v>300</v>
      </c>
      <c r="M955" s="16">
        <f xml:space="preserve"> K955 * L955</f>
        <v>900</v>
      </c>
      <c r="N955" s="16">
        <f>M955 * $Q$3</f>
        <v>13.5</v>
      </c>
      <c r="O955" s="16">
        <f>M955 * $Q$4</f>
        <v>18</v>
      </c>
    </row>
    <row r="956" spans="1:15">
      <c r="A956" s="2">
        <v>955</v>
      </c>
      <c r="B956" s="4">
        <f>DAY(E956)</f>
        <v>14</v>
      </c>
      <c r="C956" s="4">
        <f>MONTH(E956)</f>
        <v>7</v>
      </c>
      <c r="D956" s="4">
        <f>YEAR(E956)</f>
        <v>2023</v>
      </c>
      <c r="E956" s="3">
        <v>45121</v>
      </c>
      <c r="F956" s="4" t="s">
        <v>986</v>
      </c>
      <c r="G956" s="4" t="s">
        <v>8</v>
      </c>
      <c r="H956" s="4">
        <v>58</v>
      </c>
      <c r="I956" s="4" t="str" cm="1">
        <f t="array" ref="I956">_xlfn.IFS(H956&lt;30, "Young Adult", H956&lt;50, "Adult", H956&gt;=50, "Senior")</f>
        <v>Senior</v>
      </c>
      <c r="J956" s="4" t="s">
        <v>3</v>
      </c>
      <c r="K956" s="4">
        <v>1</v>
      </c>
      <c r="L956" s="16">
        <v>25</v>
      </c>
      <c r="M956" s="16">
        <f xml:space="preserve"> K956 * L956</f>
        <v>25</v>
      </c>
      <c r="N956" s="16">
        <f>M956 * $Q$3</f>
        <v>0.375</v>
      </c>
      <c r="O956" s="16">
        <f>M956 * $Q$4</f>
        <v>0.5</v>
      </c>
    </row>
    <row r="957" spans="1:15">
      <c r="A957" s="2">
        <v>956</v>
      </c>
      <c r="B957" s="4">
        <f>DAY(E957)</f>
        <v>19</v>
      </c>
      <c r="C957" s="4">
        <f>MONTH(E957)</f>
        <v>8</v>
      </c>
      <c r="D957" s="4">
        <f>YEAR(E957)</f>
        <v>2023</v>
      </c>
      <c r="E957" s="3">
        <v>45157</v>
      </c>
      <c r="F957" s="4" t="s">
        <v>987</v>
      </c>
      <c r="G957" s="4" t="s">
        <v>8</v>
      </c>
      <c r="H957" s="4">
        <v>30</v>
      </c>
      <c r="I957" s="4" t="str" cm="1">
        <f t="array" ref="I957">_xlfn.IFS(H957&lt;30, "Young Adult", H957&lt;50, "Adult", H957&gt;=50, "Senior")</f>
        <v>Adult</v>
      </c>
      <c r="J957" s="4" t="s">
        <v>3</v>
      </c>
      <c r="K957" s="4">
        <v>3</v>
      </c>
      <c r="L957" s="16">
        <v>500</v>
      </c>
      <c r="M957" s="16">
        <f xml:space="preserve"> K957 * L957</f>
        <v>1500</v>
      </c>
      <c r="N957" s="16">
        <f>M957 * $Q$3</f>
        <v>22.5</v>
      </c>
      <c r="O957" s="16">
        <f>M957 * $Q$4</f>
        <v>30</v>
      </c>
    </row>
    <row r="958" spans="1:15">
      <c r="A958" s="2">
        <v>957</v>
      </c>
      <c r="B958" s="4">
        <f>DAY(E958)</f>
        <v>15</v>
      </c>
      <c r="C958" s="4">
        <f>MONTH(E958)</f>
        <v>8</v>
      </c>
      <c r="D958" s="4">
        <f>YEAR(E958)</f>
        <v>2023</v>
      </c>
      <c r="E958" s="3">
        <v>45153</v>
      </c>
      <c r="F958" s="4" t="s">
        <v>988</v>
      </c>
      <c r="G958" s="4" t="s">
        <v>7</v>
      </c>
      <c r="H958" s="4">
        <v>60</v>
      </c>
      <c r="I958" s="4" t="str" cm="1">
        <f t="array" ref="I958">_xlfn.IFS(H958&lt;30, "Young Adult", H958&lt;50, "Adult", H958&gt;=50, "Senior")</f>
        <v>Senior</v>
      </c>
      <c r="J958" s="4" t="s">
        <v>4</v>
      </c>
      <c r="K958" s="4">
        <v>4</v>
      </c>
      <c r="L958" s="16">
        <v>30</v>
      </c>
      <c r="M958" s="16">
        <f xml:space="preserve"> K958 * L958</f>
        <v>120</v>
      </c>
      <c r="N958" s="16">
        <f>M958 * $Q$3</f>
        <v>1.7999999999999998</v>
      </c>
      <c r="O958" s="16">
        <f>M958 * $Q$4</f>
        <v>2.4</v>
      </c>
    </row>
    <row r="959" spans="1:15">
      <c r="A959" s="2">
        <v>958</v>
      </c>
      <c r="B959" s="4">
        <f>DAY(E959)</f>
        <v>2</v>
      </c>
      <c r="C959" s="4">
        <f>MONTH(E959)</f>
        <v>6</v>
      </c>
      <c r="D959" s="4">
        <f>YEAR(E959)</f>
        <v>2023</v>
      </c>
      <c r="E959" s="3">
        <v>45079</v>
      </c>
      <c r="F959" s="4" t="s">
        <v>989</v>
      </c>
      <c r="G959" s="4" t="s">
        <v>8</v>
      </c>
      <c r="H959" s="4">
        <v>62</v>
      </c>
      <c r="I959" s="4" t="str" cm="1">
        <f t="array" ref="I959">_xlfn.IFS(H959&lt;30, "Young Adult", H959&lt;50, "Adult", H959&gt;=50, "Senior")</f>
        <v>Senior</v>
      </c>
      <c r="J959" s="4" t="s">
        <v>4</v>
      </c>
      <c r="K959" s="4">
        <v>2</v>
      </c>
      <c r="L959" s="16">
        <v>25</v>
      </c>
      <c r="M959" s="16">
        <f xml:space="preserve"> K959 * L959</f>
        <v>50</v>
      </c>
      <c r="N959" s="16">
        <f>M959 * $Q$3</f>
        <v>0.75</v>
      </c>
      <c r="O959" s="16">
        <f>M959 * $Q$4</f>
        <v>1</v>
      </c>
    </row>
    <row r="960" spans="1:15">
      <c r="A960" s="2">
        <v>959</v>
      </c>
      <c r="B960" s="4">
        <f>DAY(E960)</f>
        <v>29</v>
      </c>
      <c r="C960" s="4">
        <f>MONTH(E960)</f>
        <v>10</v>
      </c>
      <c r="D960" s="4">
        <f>YEAR(E960)</f>
        <v>2023</v>
      </c>
      <c r="E960" s="3">
        <v>45228</v>
      </c>
      <c r="F960" s="4" t="s">
        <v>990</v>
      </c>
      <c r="G960" s="4" t="s">
        <v>7</v>
      </c>
      <c r="H960" s="4">
        <v>42</v>
      </c>
      <c r="I960" s="4" t="str" cm="1">
        <f t="array" ref="I960">_xlfn.IFS(H960&lt;30, "Young Adult", H960&lt;50, "Adult", H960&gt;=50, "Senior")</f>
        <v>Adult</v>
      </c>
      <c r="J960" s="4" t="s">
        <v>4</v>
      </c>
      <c r="K960" s="4">
        <v>2</v>
      </c>
      <c r="L960" s="16">
        <v>30</v>
      </c>
      <c r="M960" s="16">
        <f xml:space="preserve"> K960 * L960</f>
        <v>60</v>
      </c>
      <c r="N960" s="16">
        <f>M960 * $Q$3</f>
        <v>0.89999999999999991</v>
      </c>
      <c r="O960" s="16">
        <f>M960 * $Q$4</f>
        <v>1.2</v>
      </c>
    </row>
    <row r="961" spans="1:15">
      <c r="A961" s="2">
        <v>960</v>
      </c>
      <c r="B961" s="4">
        <f>DAY(E961)</f>
        <v>8</v>
      </c>
      <c r="C961" s="4">
        <f>MONTH(E961)</f>
        <v>8</v>
      </c>
      <c r="D961" s="4">
        <f>YEAR(E961)</f>
        <v>2023</v>
      </c>
      <c r="E961" s="3">
        <v>45146</v>
      </c>
      <c r="F961" s="4" t="s">
        <v>991</v>
      </c>
      <c r="G961" s="4" t="s">
        <v>8</v>
      </c>
      <c r="H961" s="4">
        <v>59</v>
      </c>
      <c r="I961" s="4" t="str" cm="1">
        <f t="array" ref="I961">_xlfn.IFS(H961&lt;30, "Young Adult", H961&lt;50, "Adult", H961&gt;=50, "Senior")</f>
        <v>Senior</v>
      </c>
      <c r="J961" s="4" t="s">
        <v>3</v>
      </c>
      <c r="K961" s="4">
        <v>2</v>
      </c>
      <c r="L961" s="16">
        <v>30</v>
      </c>
      <c r="M961" s="16">
        <f xml:space="preserve"> K961 * L961</f>
        <v>60</v>
      </c>
      <c r="N961" s="16">
        <f>M961 * $Q$3</f>
        <v>0.89999999999999991</v>
      </c>
      <c r="O961" s="16">
        <f>M961 * $Q$4</f>
        <v>1.2</v>
      </c>
    </row>
    <row r="962" spans="1:15">
      <c r="A962" s="2">
        <v>961</v>
      </c>
      <c r="B962" s="4">
        <f>DAY(E962)</f>
        <v>6</v>
      </c>
      <c r="C962" s="4">
        <f>MONTH(E962)</f>
        <v>6</v>
      </c>
      <c r="D962" s="4">
        <f>YEAR(E962)</f>
        <v>2023</v>
      </c>
      <c r="E962" s="3">
        <v>45083</v>
      </c>
      <c r="F962" s="4" t="s">
        <v>992</v>
      </c>
      <c r="G962" s="4" t="s">
        <v>8</v>
      </c>
      <c r="H962" s="4">
        <v>53</v>
      </c>
      <c r="I962" s="4" t="str" cm="1">
        <f t="array" ref="I962">_xlfn.IFS(H962&lt;30, "Young Adult", H962&lt;50, "Adult", H962&gt;=50, "Senior")</f>
        <v>Senior</v>
      </c>
      <c r="J962" s="4" t="s">
        <v>2</v>
      </c>
      <c r="K962" s="4">
        <v>4</v>
      </c>
      <c r="L962" s="16">
        <v>50</v>
      </c>
      <c r="M962" s="16">
        <f xml:space="preserve"> K962 * L962</f>
        <v>200</v>
      </c>
      <c r="N962" s="16">
        <f>M962 * $Q$3</f>
        <v>3</v>
      </c>
      <c r="O962" s="16">
        <f>M962 * $Q$4</f>
        <v>4</v>
      </c>
    </row>
    <row r="963" spans="1:15">
      <c r="A963" s="2">
        <v>962</v>
      </c>
      <c r="B963" s="4">
        <f>DAY(E963)</f>
        <v>19</v>
      </c>
      <c r="C963" s="4">
        <f>MONTH(E963)</f>
        <v>10</v>
      </c>
      <c r="D963" s="4">
        <f>YEAR(E963)</f>
        <v>2023</v>
      </c>
      <c r="E963" s="3">
        <v>45218</v>
      </c>
      <c r="F963" s="4" t="s">
        <v>993</v>
      </c>
      <c r="G963" s="4" t="s">
        <v>8</v>
      </c>
      <c r="H963" s="4">
        <v>44</v>
      </c>
      <c r="I963" s="4" t="str" cm="1">
        <f t="array" ref="I963">_xlfn.IFS(H963&lt;30, "Young Adult", H963&lt;50, "Adult", H963&gt;=50, "Senior")</f>
        <v>Adult</v>
      </c>
      <c r="J963" s="4" t="s">
        <v>3</v>
      </c>
      <c r="K963" s="4">
        <v>2</v>
      </c>
      <c r="L963" s="16">
        <v>30</v>
      </c>
      <c r="M963" s="16">
        <f xml:space="preserve"> K963 * L963</f>
        <v>60</v>
      </c>
      <c r="N963" s="16">
        <f>M963 * $Q$3</f>
        <v>0.89999999999999991</v>
      </c>
      <c r="O963" s="16">
        <f>M963 * $Q$4</f>
        <v>1.2</v>
      </c>
    </row>
    <row r="964" spans="1:15">
      <c r="A964" s="2">
        <v>963</v>
      </c>
      <c r="B964" s="4">
        <f>DAY(E964)</f>
        <v>14</v>
      </c>
      <c r="C964" s="4">
        <f>MONTH(E964)</f>
        <v>11</v>
      </c>
      <c r="D964" s="4">
        <f>YEAR(E964)</f>
        <v>2023</v>
      </c>
      <c r="E964" s="3">
        <v>45244</v>
      </c>
      <c r="F964" s="4" t="s">
        <v>994</v>
      </c>
      <c r="G964" s="4" t="s">
        <v>7</v>
      </c>
      <c r="H964" s="4">
        <v>55</v>
      </c>
      <c r="I964" s="4" t="str" cm="1">
        <f t="array" ref="I964">_xlfn.IFS(H964&lt;30, "Young Adult", H964&lt;50, "Adult", H964&gt;=50, "Senior")</f>
        <v>Senior</v>
      </c>
      <c r="J964" s="4" t="s">
        <v>2</v>
      </c>
      <c r="K964" s="4">
        <v>1</v>
      </c>
      <c r="L964" s="16">
        <v>50</v>
      </c>
      <c r="M964" s="16">
        <f xml:space="preserve"> K964 * L964</f>
        <v>50</v>
      </c>
      <c r="N964" s="16">
        <f>M964 * $Q$3</f>
        <v>0.75</v>
      </c>
      <c r="O964" s="16">
        <f>M964 * $Q$4</f>
        <v>1</v>
      </c>
    </row>
    <row r="965" spans="1:15">
      <c r="A965" s="2">
        <v>964</v>
      </c>
      <c r="B965" s="4">
        <f>DAY(E965)</f>
        <v>31</v>
      </c>
      <c r="C965" s="4">
        <f>MONTH(E965)</f>
        <v>1</v>
      </c>
      <c r="D965" s="4">
        <f>YEAR(E965)</f>
        <v>2023</v>
      </c>
      <c r="E965" s="3">
        <v>44957</v>
      </c>
      <c r="F965" s="4" t="s">
        <v>995</v>
      </c>
      <c r="G965" s="4" t="s">
        <v>8</v>
      </c>
      <c r="H965" s="4">
        <v>24</v>
      </c>
      <c r="I965" s="4" t="str" cm="1">
        <f t="array" ref="I965">_xlfn.IFS(H965&lt;30, "Young Adult", H965&lt;50, "Adult", H965&gt;=50, "Senior")</f>
        <v>Young Adult</v>
      </c>
      <c r="J965" s="4" t="s">
        <v>3</v>
      </c>
      <c r="K965" s="4">
        <v>3</v>
      </c>
      <c r="L965" s="16">
        <v>300</v>
      </c>
      <c r="M965" s="16">
        <f xml:space="preserve"> K965 * L965</f>
        <v>900</v>
      </c>
      <c r="N965" s="16">
        <f>M965 * $Q$3</f>
        <v>13.5</v>
      </c>
      <c r="O965" s="16">
        <f>M965 * $Q$4</f>
        <v>18</v>
      </c>
    </row>
    <row r="966" spans="1:15">
      <c r="A966" s="2">
        <v>965</v>
      </c>
      <c r="B966" s="4">
        <f>DAY(E966)</f>
        <v>9</v>
      </c>
      <c r="C966" s="4">
        <f>MONTH(E966)</f>
        <v>11</v>
      </c>
      <c r="D966" s="4">
        <f>YEAR(E966)</f>
        <v>2023</v>
      </c>
      <c r="E966" s="3">
        <v>45239</v>
      </c>
      <c r="F966" s="4" t="s">
        <v>996</v>
      </c>
      <c r="G966" s="4" t="s">
        <v>8</v>
      </c>
      <c r="H966" s="4">
        <v>22</v>
      </c>
      <c r="I966" s="4" t="str" cm="1">
        <f t="array" ref="I966">_xlfn.IFS(H966&lt;30, "Young Adult", H966&lt;50, "Adult", H966&gt;=50, "Senior")</f>
        <v>Young Adult</v>
      </c>
      <c r="J966" s="4" t="s">
        <v>3</v>
      </c>
      <c r="K966" s="4">
        <v>4</v>
      </c>
      <c r="L966" s="16">
        <v>50</v>
      </c>
      <c r="M966" s="16">
        <f xml:space="preserve"> K966 * L966</f>
        <v>200</v>
      </c>
      <c r="N966" s="16">
        <f>M966 * $Q$3</f>
        <v>3</v>
      </c>
      <c r="O966" s="16">
        <f>M966 * $Q$4</f>
        <v>4</v>
      </c>
    </row>
    <row r="967" spans="1:15">
      <c r="A967" s="2">
        <v>966</v>
      </c>
      <c r="B967" s="4">
        <f>DAY(E967)</f>
        <v>20</v>
      </c>
      <c r="C967" s="4">
        <f>MONTH(E967)</f>
        <v>2</v>
      </c>
      <c r="D967" s="4">
        <f>YEAR(E967)</f>
        <v>2023</v>
      </c>
      <c r="E967" s="3">
        <v>44977</v>
      </c>
      <c r="F967" s="4" t="s">
        <v>997</v>
      </c>
      <c r="G967" s="4" t="s">
        <v>8</v>
      </c>
      <c r="H967" s="4">
        <v>60</v>
      </c>
      <c r="I967" s="4" t="str" cm="1">
        <f t="array" ref="I967">_xlfn.IFS(H967&lt;30, "Young Adult", H967&lt;50, "Adult", H967&gt;=50, "Senior")</f>
        <v>Senior</v>
      </c>
      <c r="J967" s="4" t="s">
        <v>4</v>
      </c>
      <c r="K967" s="4">
        <v>2</v>
      </c>
      <c r="L967" s="16">
        <v>500</v>
      </c>
      <c r="M967" s="16">
        <f xml:space="preserve"> K967 * L967</f>
        <v>1000</v>
      </c>
      <c r="N967" s="16">
        <f>M967 * $Q$3</f>
        <v>15</v>
      </c>
      <c r="O967" s="16">
        <f>M967 * $Q$4</f>
        <v>20</v>
      </c>
    </row>
    <row r="968" spans="1:15">
      <c r="A968" s="2">
        <v>967</v>
      </c>
      <c r="B968" s="4">
        <f>DAY(E968)</f>
        <v>17</v>
      </c>
      <c r="C968" s="4">
        <f>MONTH(E968)</f>
        <v>4</v>
      </c>
      <c r="D968" s="4">
        <f>YEAR(E968)</f>
        <v>2023</v>
      </c>
      <c r="E968" s="3">
        <v>45033</v>
      </c>
      <c r="F968" s="4" t="s">
        <v>998</v>
      </c>
      <c r="G968" s="4" t="s">
        <v>8</v>
      </c>
      <c r="H968" s="4">
        <v>62</v>
      </c>
      <c r="I968" s="4" t="str" cm="1">
        <f t="array" ref="I968">_xlfn.IFS(H968&lt;30, "Young Adult", H968&lt;50, "Adult", H968&gt;=50, "Senior")</f>
        <v>Senior</v>
      </c>
      <c r="J968" s="4" t="s">
        <v>2</v>
      </c>
      <c r="K968" s="4">
        <v>1</v>
      </c>
      <c r="L968" s="16">
        <v>25</v>
      </c>
      <c r="M968" s="16">
        <f xml:space="preserve"> K968 * L968</f>
        <v>25</v>
      </c>
      <c r="N968" s="16">
        <f>M968 * $Q$3</f>
        <v>0.375</v>
      </c>
      <c r="O968" s="16">
        <f>M968 * $Q$4</f>
        <v>0.5</v>
      </c>
    </row>
    <row r="969" spans="1:15">
      <c r="A969" s="2">
        <v>968</v>
      </c>
      <c r="B969" s="4">
        <f>DAY(E969)</f>
        <v>17</v>
      </c>
      <c r="C969" s="4">
        <f>MONTH(E969)</f>
        <v>11</v>
      </c>
      <c r="D969" s="4">
        <f>YEAR(E969)</f>
        <v>2023</v>
      </c>
      <c r="E969" s="3">
        <v>45247</v>
      </c>
      <c r="F969" s="4" t="s">
        <v>999</v>
      </c>
      <c r="G969" s="4" t="s">
        <v>7</v>
      </c>
      <c r="H969" s="4">
        <v>48</v>
      </c>
      <c r="I969" s="4" t="str" cm="1">
        <f t="array" ref="I969">_xlfn.IFS(H969&lt;30, "Young Adult", H969&lt;50, "Adult", H969&gt;=50, "Senior")</f>
        <v>Adult</v>
      </c>
      <c r="J969" s="4" t="s">
        <v>3</v>
      </c>
      <c r="K969" s="4">
        <v>3</v>
      </c>
      <c r="L969" s="16">
        <v>300</v>
      </c>
      <c r="M969" s="16">
        <f xml:space="preserve"> K969 * L969</f>
        <v>900</v>
      </c>
      <c r="N969" s="16">
        <f>M969 * $Q$3</f>
        <v>13.5</v>
      </c>
      <c r="O969" s="16">
        <f>M969 * $Q$4</f>
        <v>18</v>
      </c>
    </row>
    <row r="970" spans="1:15">
      <c r="A970" s="2">
        <v>969</v>
      </c>
      <c r="B970" s="4">
        <f>DAY(E970)</f>
        <v>19</v>
      </c>
      <c r="C970" s="4">
        <f>MONTH(E970)</f>
        <v>4</v>
      </c>
      <c r="D970" s="4">
        <f>YEAR(E970)</f>
        <v>2023</v>
      </c>
      <c r="E970" s="3">
        <v>45035</v>
      </c>
      <c r="F970" s="4" t="s">
        <v>1000</v>
      </c>
      <c r="G970" s="4" t="s">
        <v>7</v>
      </c>
      <c r="H970" s="4">
        <v>40</v>
      </c>
      <c r="I970" s="4" t="str" cm="1">
        <f t="array" ref="I970">_xlfn.IFS(H970&lt;30, "Young Adult", H970&lt;50, "Adult", H970&gt;=50, "Senior")</f>
        <v>Adult</v>
      </c>
      <c r="J970" s="4" t="s">
        <v>3</v>
      </c>
      <c r="K970" s="4">
        <v>3</v>
      </c>
      <c r="L970" s="16">
        <v>300</v>
      </c>
      <c r="M970" s="16">
        <f xml:space="preserve"> K970 * L970</f>
        <v>900</v>
      </c>
      <c r="N970" s="16">
        <f>M970 * $Q$3</f>
        <v>13.5</v>
      </c>
      <c r="O970" s="16">
        <f>M970 * $Q$4</f>
        <v>18</v>
      </c>
    </row>
    <row r="971" spans="1:15">
      <c r="A971" s="2">
        <v>970</v>
      </c>
      <c r="B971" s="4">
        <f>DAY(E971)</f>
        <v>16</v>
      </c>
      <c r="C971" s="4">
        <f>MONTH(E971)</f>
        <v>5</v>
      </c>
      <c r="D971" s="4">
        <f>YEAR(E971)</f>
        <v>2023</v>
      </c>
      <c r="E971" s="3">
        <v>45062</v>
      </c>
      <c r="F971" s="4" t="s">
        <v>1001</v>
      </c>
      <c r="G971" s="4" t="s">
        <v>8</v>
      </c>
      <c r="H971" s="4">
        <v>59</v>
      </c>
      <c r="I971" s="4" t="str" cm="1">
        <f t="array" ref="I971">_xlfn.IFS(H971&lt;30, "Young Adult", H971&lt;50, "Adult", H971&gt;=50, "Senior")</f>
        <v>Senior</v>
      </c>
      <c r="J971" s="4" t="s">
        <v>4</v>
      </c>
      <c r="K971" s="4">
        <v>4</v>
      </c>
      <c r="L971" s="16">
        <v>500</v>
      </c>
      <c r="M971" s="16">
        <f xml:space="preserve"> K971 * L971</f>
        <v>2000</v>
      </c>
      <c r="N971" s="16">
        <f>M971 * $Q$3</f>
        <v>30</v>
      </c>
      <c r="O971" s="16">
        <f>M971 * $Q$4</f>
        <v>40</v>
      </c>
    </row>
    <row r="972" spans="1:15">
      <c r="A972" s="2">
        <v>971</v>
      </c>
      <c r="B972" s="4">
        <f>DAY(E972)</f>
        <v>5</v>
      </c>
      <c r="C972" s="4">
        <f>MONTH(E972)</f>
        <v>12</v>
      </c>
      <c r="D972" s="4">
        <f>YEAR(E972)</f>
        <v>2023</v>
      </c>
      <c r="E972" s="3">
        <v>45265</v>
      </c>
      <c r="F972" s="4" t="s">
        <v>1002</v>
      </c>
      <c r="G972" s="4" t="s">
        <v>7</v>
      </c>
      <c r="H972" s="4">
        <v>27</v>
      </c>
      <c r="I972" s="4" t="str" cm="1">
        <f t="array" ref="I972">_xlfn.IFS(H972&lt;30, "Young Adult", H972&lt;50, "Adult", H972&gt;=50, "Senior")</f>
        <v>Young Adult</v>
      </c>
      <c r="J972" s="4" t="s">
        <v>4</v>
      </c>
      <c r="K972" s="4">
        <v>4</v>
      </c>
      <c r="L972" s="16">
        <v>50</v>
      </c>
      <c r="M972" s="16">
        <f xml:space="preserve"> K972 * L972</f>
        <v>200</v>
      </c>
      <c r="N972" s="16">
        <f>M972 * $Q$3</f>
        <v>3</v>
      </c>
      <c r="O972" s="16">
        <f>M972 * $Q$4</f>
        <v>4</v>
      </c>
    </row>
    <row r="973" spans="1:15">
      <c r="A973" s="2">
        <v>972</v>
      </c>
      <c r="B973" s="4">
        <f>DAY(E973)</f>
        <v>11</v>
      </c>
      <c r="C973" s="4">
        <f>MONTH(E973)</f>
        <v>2</v>
      </c>
      <c r="D973" s="4">
        <f>YEAR(E973)</f>
        <v>2023</v>
      </c>
      <c r="E973" s="3">
        <v>44968</v>
      </c>
      <c r="F973" s="4" t="s">
        <v>1003</v>
      </c>
      <c r="G973" s="4" t="s">
        <v>8</v>
      </c>
      <c r="H973" s="4">
        <v>49</v>
      </c>
      <c r="I973" s="4" t="str" cm="1">
        <f t="array" ref="I973">_xlfn.IFS(H973&lt;30, "Young Adult", H973&lt;50, "Adult", H973&gt;=50, "Senior")</f>
        <v>Adult</v>
      </c>
      <c r="J973" s="4" t="s">
        <v>2</v>
      </c>
      <c r="K973" s="4">
        <v>4</v>
      </c>
      <c r="L973" s="16">
        <v>25</v>
      </c>
      <c r="M973" s="16">
        <f xml:space="preserve"> K973 * L973</f>
        <v>100</v>
      </c>
      <c r="N973" s="16">
        <f>M973 * $Q$3</f>
        <v>1.5</v>
      </c>
      <c r="O973" s="16">
        <f>M973 * $Q$4</f>
        <v>2</v>
      </c>
    </row>
    <row r="974" spans="1:15">
      <c r="A974" s="2">
        <v>973</v>
      </c>
      <c r="B974" s="4">
        <f>DAY(E974)</f>
        <v>22</v>
      </c>
      <c r="C974" s="4">
        <f>MONTH(E974)</f>
        <v>3</v>
      </c>
      <c r="D974" s="4">
        <f>YEAR(E974)</f>
        <v>2023</v>
      </c>
      <c r="E974" s="3">
        <v>45007</v>
      </c>
      <c r="F974" s="4" t="s">
        <v>1004</v>
      </c>
      <c r="G974" s="4" t="s">
        <v>8</v>
      </c>
      <c r="H974" s="4">
        <v>60</v>
      </c>
      <c r="I974" s="4" t="str" cm="1">
        <f t="array" ref="I974">_xlfn.IFS(H974&lt;30, "Young Adult", H974&lt;50, "Adult", H974&gt;=50, "Senior")</f>
        <v>Senior</v>
      </c>
      <c r="J974" s="4" t="s">
        <v>3</v>
      </c>
      <c r="K974" s="4">
        <v>1</v>
      </c>
      <c r="L974" s="16">
        <v>50</v>
      </c>
      <c r="M974" s="16">
        <f xml:space="preserve"> K974 * L974</f>
        <v>50</v>
      </c>
      <c r="N974" s="16">
        <f>M974 * $Q$3</f>
        <v>0.75</v>
      </c>
      <c r="O974" s="16">
        <f>M974 * $Q$4</f>
        <v>1</v>
      </c>
    </row>
    <row r="975" spans="1:15">
      <c r="A975" s="2">
        <v>974</v>
      </c>
      <c r="B975" s="4">
        <f>DAY(E975)</f>
        <v>3</v>
      </c>
      <c r="C975" s="4">
        <f>MONTH(E975)</f>
        <v>5</v>
      </c>
      <c r="D975" s="4">
        <f>YEAR(E975)</f>
        <v>2023</v>
      </c>
      <c r="E975" s="3">
        <v>45049</v>
      </c>
      <c r="F975" s="4" t="s">
        <v>1005</v>
      </c>
      <c r="G975" s="4" t="s">
        <v>8</v>
      </c>
      <c r="H975" s="4">
        <v>47</v>
      </c>
      <c r="I975" s="4" t="str" cm="1">
        <f t="array" ref="I975">_xlfn.IFS(H975&lt;30, "Young Adult", H975&lt;50, "Adult", H975&gt;=50, "Senior")</f>
        <v>Adult</v>
      </c>
      <c r="J975" s="4" t="s">
        <v>2</v>
      </c>
      <c r="K975" s="4">
        <v>1</v>
      </c>
      <c r="L975" s="16">
        <v>30</v>
      </c>
      <c r="M975" s="16">
        <f xml:space="preserve"> K975 * L975</f>
        <v>30</v>
      </c>
      <c r="N975" s="16">
        <f>M975 * $Q$3</f>
        <v>0.44999999999999996</v>
      </c>
      <c r="O975" s="16">
        <f>M975 * $Q$4</f>
        <v>0.6</v>
      </c>
    </row>
    <row r="976" spans="1:15">
      <c r="A976" s="2">
        <v>975</v>
      </c>
      <c r="B976" s="4">
        <f>DAY(E976)</f>
        <v>30</v>
      </c>
      <c r="C976" s="4">
        <f>MONTH(E976)</f>
        <v>3</v>
      </c>
      <c r="D976" s="4">
        <f>YEAR(E976)</f>
        <v>2023</v>
      </c>
      <c r="E976" s="3">
        <v>45015</v>
      </c>
      <c r="F976" s="4" t="s">
        <v>1006</v>
      </c>
      <c r="G976" s="4" t="s">
        <v>7</v>
      </c>
      <c r="H976" s="4">
        <v>56</v>
      </c>
      <c r="I976" s="4" t="str" cm="1">
        <f t="array" ref="I976">_xlfn.IFS(H976&lt;30, "Young Adult", H976&lt;50, "Adult", H976&gt;=50, "Senior")</f>
        <v>Senior</v>
      </c>
      <c r="J976" s="4" t="s">
        <v>3</v>
      </c>
      <c r="K976" s="4">
        <v>4</v>
      </c>
      <c r="L976" s="16">
        <v>50</v>
      </c>
      <c r="M976" s="16">
        <f xml:space="preserve"> K976 * L976</f>
        <v>200</v>
      </c>
      <c r="N976" s="16">
        <f>M976 * $Q$3</f>
        <v>3</v>
      </c>
      <c r="O976" s="16">
        <f>M976 * $Q$4</f>
        <v>4</v>
      </c>
    </row>
    <row r="977" spans="1:15">
      <c r="A977" s="2">
        <v>976</v>
      </c>
      <c r="B977" s="4">
        <f>DAY(E977)</f>
        <v>10</v>
      </c>
      <c r="C977" s="4">
        <f>MONTH(E977)</f>
        <v>10</v>
      </c>
      <c r="D977" s="4">
        <f>YEAR(E977)</f>
        <v>2023</v>
      </c>
      <c r="E977" s="3">
        <v>45209</v>
      </c>
      <c r="F977" s="4" t="s">
        <v>1007</v>
      </c>
      <c r="G977" s="4" t="s">
        <v>7</v>
      </c>
      <c r="H977" s="4">
        <v>48</v>
      </c>
      <c r="I977" s="4" t="str" cm="1">
        <f t="array" ref="I977">_xlfn.IFS(H977&lt;30, "Young Adult", H977&lt;50, "Adult", H977&gt;=50, "Senior")</f>
        <v>Adult</v>
      </c>
      <c r="J977" s="4" t="s">
        <v>2</v>
      </c>
      <c r="K977" s="4">
        <v>2</v>
      </c>
      <c r="L977" s="16">
        <v>300</v>
      </c>
      <c r="M977" s="16">
        <f xml:space="preserve"> K977 * L977</f>
        <v>600</v>
      </c>
      <c r="N977" s="16">
        <f>M977 * $Q$3</f>
        <v>9</v>
      </c>
      <c r="O977" s="16">
        <f>M977 * $Q$4</f>
        <v>12</v>
      </c>
    </row>
    <row r="978" spans="1:15">
      <c r="A978" s="2">
        <v>977</v>
      </c>
      <c r="B978" s="4">
        <f>DAY(E978)</f>
        <v>8</v>
      </c>
      <c r="C978" s="4">
        <f>MONTH(E978)</f>
        <v>2</v>
      </c>
      <c r="D978" s="4">
        <f>YEAR(E978)</f>
        <v>2023</v>
      </c>
      <c r="E978" s="3">
        <v>44965</v>
      </c>
      <c r="F978" s="4" t="s">
        <v>1008</v>
      </c>
      <c r="G978" s="4" t="s">
        <v>7</v>
      </c>
      <c r="H978" s="4">
        <v>35</v>
      </c>
      <c r="I978" s="4" t="str" cm="1">
        <f t="array" ref="I978">_xlfn.IFS(H978&lt;30, "Young Adult", H978&lt;50, "Adult", H978&gt;=50, "Senior")</f>
        <v>Adult</v>
      </c>
      <c r="J978" s="4" t="s">
        <v>4</v>
      </c>
      <c r="K978" s="4">
        <v>3</v>
      </c>
      <c r="L978" s="16">
        <v>25</v>
      </c>
      <c r="M978" s="16">
        <f xml:space="preserve"> K978 * L978</f>
        <v>75</v>
      </c>
      <c r="N978" s="16">
        <f>M978 * $Q$3</f>
        <v>1.125</v>
      </c>
      <c r="O978" s="16">
        <f>M978 * $Q$4</f>
        <v>1.5</v>
      </c>
    </row>
    <row r="979" spans="1:15">
      <c r="A979" s="2">
        <v>978</v>
      </c>
      <c r="B979" s="4">
        <f>DAY(E979)</f>
        <v>22</v>
      </c>
      <c r="C979" s="4">
        <f>MONTH(E979)</f>
        <v>3</v>
      </c>
      <c r="D979" s="4">
        <f>YEAR(E979)</f>
        <v>2023</v>
      </c>
      <c r="E979" s="3">
        <v>45007</v>
      </c>
      <c r="F979" s="4" t="s">
        <v>1009</v>
      </c>
      <c r="G979" s="4" t="s">
        <v>7</v>
      </c>
      <c r="H979" s="4">
        <v>53</v>
      </c>
      <c r="I979" s="4" t="str" cm="1">
        <f t="array" ref="I979">_xlfn.IFS(H979&lt;30, "Young Adult", H979&lt;50, "Adult", H979&gt;=50, "Senior")</f>
        <v>Senior</v>
      </c>
      <c r="J979" s="4" t="s">
        <v>3</v>
      </c>
      <c r="K979" s="4">
        <v>3</v>
      </c>
      <c r="L979" s="16">
        <v>50</v>
      </c>
      <c r="M979" s="16">
        <f xml:space="preserve"> K979 * L979</f>
        <v>150</v>
      </c>
      <c r="N979" s="16">
        <f>M979 * $Q$3</f>
        <v>2.25</v>
      </c>
      <c r="O979" s="16">
        <f>M979 * $Q$4</f>
        <v>3</v>
      </c>
    </row>
    <row r="980" spans="1:15">
      <c r="A980" s="2">
        <v>979</v>
      </c>
      <c r="B980" s="4">
        <f>DAY(E980)</f>
        <v>2</v>
      </c>
      <c r="C980" s="4">
        <f>MONTH(E980)</f>
        <v>1</v>
      </c>
      <c r="D980" s="4">
        <f>YEAR(E980)</f>
        <v>2023</v>
      </c>
      <c r="E980" s="3">
        <v>44928</v>
      </c>
      <c r="F980" s="4" t="s">
        <v>1010</v>
      </c>
      <c r="G980" s="4" t="s">
        <v>7</v>
      </c>
      <c r="H980" s="4">
        <v>19</v>
      </c>
      <c r="I980" s="4" t="str" cm="1">
        <f t="array" ref="I980">_xlfn.IFS(H980&lt;30, "Young Adult", H980&lt;50, "Adult", H980&gt;=50, "Senior")</f>
        <v>Young Adult</v>
      </c>
      <c r="J980" s="4" t="s">
        <v>2</v>
      </c>
      <c r="K980" s="4">
        <v>1</v>
      </c>
      <c r="L980" s="16">
        <v>25</v>
      </c>
      <c r="M980" s="16">
        <f xml:space="preserve"> K980 * L980</f>
        <v>25</v>
      </c>
      <c r="N980" s="16">
        <f>M980 * $Q$3</f>
        <v>0.375</v>
      </c>
      <c r="O980" s="16">
        <f>M980 * $Q$4</f>
        <v>0.5</v>
      </c>
    </row>
    <row r="981" spans="1:15">
      <c r="A981" s="2">
        <v>980</v>
      </c>
      <c r="B981" s="4">
        <f>DAY(E981)</f>
        <v>29</v>
      </c>
      <c r="C981" s="4">
        <f>MONTH(E981)</f>
        <v>7</v>
      </c>
      <c r="D981" s="4">
        <f>YEAR(E981)</f>
        <v>2023</v>
      </c>
      <c r="E981" s="3">
        <v>45136</v>
      </c>
      <c r="F981" s="4" t="s">
        <v>1011</v>
      </c>
      <c r="G981" s="4" t="s">
        <v>7</v>
      </c>
      <c r="H981" s="4">
        <v>31</v>
      </c>
      <c r="I981" s="4" t="str" cm="1">
        <f t="array" ref="I981">_xlfn.IFS(H981&lt;30, "Young Adult", H981&lt;50, "Adult", H981&gt;=50, "Senior")</f>
        <v>Adult</v>
      </c>
      <c r="J981" s="4" t="s">
        <v>4</v>
      </c>
      <c r="K981" s="4">
        <v>3</v>
      </c>
      <c r="L981" s="16">
        <v>25</v>
      </c>
      <c r="M981" s="16">
        <f xml:space="preserve"> K981 * L981</f>
        <v>75</v>
      </c>
      <c r="N981" s="16">
        <f>M981 * $Q$3</f>
        <v>1.125</v>
      </c>
      <c r="O981" s="16">
        <f>M981 * $Q$4</f>
        <v>1.5</v>
      </c>
    </row>
    <row r="982" spans="1:15">
      <c r="A982" s="2">
        <v>981</v>
      </c>
      <c r="B982" s="4">
        <f>DAY(E982)</f>
        <v>19</v>
      </c>
      <c r="C982" s="4">
        <f>MONTH(E982)</f>
        <v>8</v>
      </c>
      <c r="D982" s="4">
        <f>YEAR(E982)</f>
        <v>2023</v>
      </c>
      <c r="E982" s="3">
        <v>45157</v>
      </c>
      <c r="F982" s="4" t="s">
        <v>1012</v>
      </c>
      <c r="G982" s="4" t="s">
        <v>7</v>
      </c>
      <c r="H982" s="4">
        <v>30</v>
      </c>
      <c r="I982" s="4" t="str" cm="1">
        <f t="array" ref="I982">_xlfn.IFS(H982&lt;30, "Young Adult", H982&lt;50, "Adult", H982&gt;=50, "Senior")</f>
        <v>Adult</v>
      </c>
      <c r="J982" s="4" t="s">
        <v>4</v>
      </c>
      <c r="K982" s="4">
        <v>2</v>
      </c>
      <c r="L982" s="16">
        <v>30</v>
      </c>
      <c r="M982" s="16">
        <f xml:space="preserve"> K982 * L982</f>
        <v>60</v>
      </c>
      <c r="N982" s="16">
        <f>M982 * $Q$3</f>
        <v>0.89999999999999991</v>
      </c>
      <c r="O982" s="16">
        <f>M982 * $Q$4</f>
        <v>1.2</v>
      </c>
    </row>
    <row r="983" spans="1:15">
      <c r="A983" s="2">
        <v>982</v>
      </c>
      <c r="B983" s="4">
        <f>DAY(E983)</f>
        <v>19</v>
      </c>
      <c r="C983" s="4">
        <f>MONTH(E983)</f>
        <v>12</v>
      </c>
      <c r="D983" s="4">
        <f>YEAR(E983)</f>
        <v>2023</v>
      </c>
      <c r="E983" s="3">
        <v>45279</v>
      </c>
      <c r="F983" s="4" t="s">
        <v>1013</v>
      </c>
      <c r="G983" s="4" t="s">
        <v>7</v>
      </c>
      <c r="H983" s="4">
        <v>46</v>
      </c>
      <c r="I983" s="4" t="str" cm="1">
        <f t="array" ref="I983">_xlfn.IFS(H983&lt;30, "Young Adult", H983&lt;50, "Adult", H983&gt;=50, "Senior")</f>
        <v>Adult</v>
      </c>
      <c r="J983" s="4" t="s">
        <v>2</v>
      </c>
      <c r="K983" s="4">
        <v>3</v>
      </c>
      <c r="L983" s="16">
        <v>30</v>
      </c>
      <c r="M983" s="16">
        <f xml:space="preserve"> K983 * L983</f>
        <v>90</v>
      </c>
      <c r="N983" s="16">
        <f>M983 * $Q$3</f>
        <v>1.3499999999999999</v>
      </c>
      <c r="O983" s="16">
        <f>M983 * $Q$4</f>
        <v>1.8</v>
      </c>
    </row>
    <row r="984" spans="1:15">
      <c r="A984" s="2">
        <v>983</v>
      </c>
      <c r="B984" s="4">
        <f>DAY(E984)</f>
        <v>1</v>
      </c>
      <c r="C984" s="4">
        <f>MONTH(E984)</f>
        <v>11</v>
      </c>
      <c r="D984" s="4">
        <f>YEAR(E984)</f>
        <v>2023</v>
      </c>
      <c r="E984" s="3">
        <v>45231</v>
      </c>
      <c r="F984" s="4" t="s">
        <v>1014</v>
      </c>
      <c r="G984" s="4" t="s">
        <v>7</v>
      </c>
      <c r="H984" s="4">
        <v>29</v>
      </c>
      <c r="I984" s="4" t="str" cm="1">
        <f t="array" ref="I984">_xlfn.IFS(H984&lt;30, "Young Adult", H984&lt;50, "Adult", H984&gt;=50, "Senior")</f>
        <v>Young Adult</v>
      </c>
      <c r="J984" s="4" t="s">
        <v>3</v>
      </c>
      <c r="K984" s="4">
        <v>1</v>
      </c>
      <c r="L984" s="16">
        <v>300</v>
      </c>
      <c r="M984" s="16">
        <f xml:space="preserve"> K984 * L984</f>
        <v>300</v>
      </c>
      <c r="N984" s="16">
        <f>M984 * $Q$3</f>
        <v>4.5</v>
      </c>
      <c r="O984" s="16">
        <f>M984 * $Q$4</f>
        <v>6</v>
      </c>
    </row>
    <row r="985" spans="1:15">
      <c r="A985" s="2">
        <v>984</v>
      </c>
      <c r="B985" s="4">
        <f>DAY(E985)</f>
        <v>29</v>
      </c>
      <c r="C985" s="4">
        <f>MONTH(E985)</f>
        <v>8</v>
      </c>
      <c r="D985" s="4">
        <f>YEAR(E985)</f>
        <v>2023</v>
      </c>
      <c r="E985" s="3">
        <v>45167</v>
      </c>
      <c r="F985" s="4" t="s">
        <v>1015</v>
      </c>
      <c r="G985" s="4" t="s">
        <v>8</v>
      </c>
      <c r="H985" s="4">
        <v>56</v>
      </c>
      <c r="I985" s="4" t="str" cm="1">
        <f t="array" ref="I985">_xlfn.IFS(H985&lt;30, "Young Adult", H985&lt;50, "Adult", H985&gt;=50, "Senior")</f>
        <v>Senior</v>
      </c>
      <c r="J985" s="4" t="s">
        <v>3</v>
      </c>
      <c r="K985" s="4">
        <v>1</v>
      </c>
      <c r="L985" s="16">
        <v>500</v>
      </c>
      <c r="M985" s="16">
        <f xml:space="preserve"> K985 * L985</f>
        <v>500</v>
      </c>
      <c r="N985" s="16">
        <f>M985 * $Q$3</f>
        <v>7.5</v>
      </c>
      <c r="O985" s="16">
        <f>M985 * $Q$4</f>
        <v>10</v>
      </c>
    </row>
    <row r="986" spans="1:15">
      <c r="A986" s="2">
        <v>985</v>
      </c>
      <c r="B986" s="4">
        <f>DAY(E986)</f>
        <v>30</v>
      </c>
      <c r="C986" s="4">
        <f>MONTH(E986)</f>
        <v>5</v>
      </c>
      <c r="D986" s="4">
        <f>YEAR(E986)</f>
        <v>2023</v>
      </c>
      <c r="E986" s="3">
        <v>45076</v>
      </c>
      <c r="F986" s="4" t="s">
        <v>1016</v>
      </c>
      <c r="G986" s="4" t="s">
        <v>7</v>
      </c>
      <c r="H986" s="4">
        <v>19</v>
      </c>
      <c r="I986" s="4" t="str" cm="1">
        <f t="array" ref="I986">_xlfn.IFS(H986&lt;30, "Young Adult", H986&lt;50, "Adult", H986&gt;=50, "Senior")</f>
        <v>Young Adult</v>
      </c>
      <c r="J986" s="4" t="s">
        <v>4</v>
      </c>
      <c r="K986" s="4">
        <v>2</v>
      </c>
      <c r="L986" s="16">
        <v>25</v>
      </c>
      <c r="M986" s="16">
        <f xml:space="preserve"> K986 * L986</f>
        <v>50</v>
      </c>
      <c r="N986" s="16">
        <f>M986 * $Q$3</f>
        <v>0.75</v>
      </c>
      <c r="O986" s="16">
        <f>M986 * $Q$4</f>
        <v>1</v>
      </c>
    </row>
    <row r="987" spans="1:15">
      <c r="A987" s="2">
        <v>986</v>
      </c>
      <c r="B987" s="4">
        <f>DAY(E987)</f>
        <v>17</v>
      </c>
      <c r="C987" s="4">
        <f>MONTH(E987)</f>
        <v>1</v>
      </c>
      <c r="D987" s="4">
        <f>YEAR(E987)</f>
        <v>2023</v>
      </c>
      <c r="E987" s="3">
        <v>44943</v>
      </c>
      <c r="F987" s="4" t="s">
        <v>1017</v>
      </c>
      <c r="G987" s="4" t="s">
        <v>7</v>
      </c>
      <c r="H987" s="4">
        <v>49</v>
      </c>
      <c r="I987" s="4" t="str" cm="1">
        <f t="array" ref="I987">_xlfn.IFS(H987&lt;30, "Young Adult", H987&lt;50, "Adult", H987&gt;=50, "Senior")</f>
        <v>Adult</v>
      </c>
      <c r="J987" s="4" t="s">
        <v>3</v>
      </c>
      <c r="K987" s="4">
        <v>2</v>
      </c>
      <c r="L987" s="16">
        <v>500</v>
      </c>
      <c r="M987" s="16">
        <f xml:space="preserve"> K987 * L987</f>
        <v>1000</v>
      </c>
      <c r="N987" s="16">
        <f>M987 * $Q$3</f>
        <v>15</v>
      </c>
      <c r="O987" s="16">
        <f>M987 * $Q$4</f>
        <v>20</v>
      </c>
    </row>
    <row r="988" spans="1:15">
      <c r="A988" s="2">
        <v>987</v>
      </c>
      <c r="B988" s="4">
        <f>DAY(E988)</f>
        <v>29</v>
      </c>
      <c r="C988" s="4">
        <f>MONTH(E988)</f>
        <v>4</v>
      </c>
      <c r="D988" s="4">
        <f>YEAR(E988)</f>
        <v>2023</v>
      </c>
      <c r="E988" s="3">
        <v>45045</v>
      </c>
      <c r="F988" s="4" t="s">
        <v>1018</v>
      </c>
      <c r="G988" s="4" t="s">
        <v>7</v>
      </c>
      <c r="H988" s="4">
        <v>30</v>
      </c>
      <c r="I988" s="4" t="str" cm="1">
        <f t="array" ref="I988">_xlfn.IFS(H988&lt;30, "Young Adult", H988&lt;50, "Adult", H988&gt;=50, "Senior")</f>
        <v>Adult</v>
      </c>
      <c r="J988" s="4" t="s">
        <v>3</v>
      </c>
      <c r="K988" s="4">
        <v>3</v>
      </c>
      <c r="L988" s="16">
        <v>300</v>
      </c>
      <c r="M988" s="16">
        <f xml:space="preserve"> K988 * L988</f>
        <v>900</v>
      </c>
      <c r="N988" s="16">
        <f>M988 * $Q$3</f>
        <v>13.5</v>
      </c>
      <c r="O988" s="16">
        <f>M988 * $Q$4</f>
        <v>18</v>
      </c>
    </row>
    <row r="989" spans="1:15">
      <c r="A989" s="2">
        <v>988</v>
      </c>
      <c r="B989" s="4">
        <f>DAY(E989)</f>
        <v>28</v>
      </c>
      <c r="C989" s="4">
        <f>MONTH(E989)</f>
        <v>5</v>
      </c>
      <c r="D989" s="4">
        <f>YEAR(E989)</f>
        <v>2023</v>
      </c>
      <c r="E989" s="3">
        <v>45074</v>
      </c>
      <c r="F989" s="4" t="s">
        <v>1019</v>
      </c>
      <c r="G989" s="4" t="s">
        <v>7</v>
      </c>
      <c r="H989" s="4">
        <v>63</v>
      </c>
      <c r="I989" s="4" t="str" cm="1">
        <f t="array" ref="I989">_xlfn.IFS(H989&lt;30, "Young Adult", H989&lt;50, "Adult", H989&gt;=50, "Senior")</f>
        <v>Senior</v>
      </c>
      <c r="J989" s="4" t="s">
        <v>3</v>
      </c>
      <c r="K989" s="4">
        <v>3</v>
      </c>
      <c r="L989" s="16">
        <v>25</v>
      </c>
      <c r="M989" s="16">
        <f xml:space="preserve"> K989 * L989</f>
        <v>75</v>
      </c>
      <c r="N989" s="16">
        <f>M989 * $Q$3</f>
        <v>1.125</v>
      </c>
      <c r="O989" s="16">
        <f>M989 * $Q$4</f>
        <v>1.5</v>
      </c>
    </row>
    <row r="990" spans="1:15">
      <c r="A990" s="2">
        <v>989</v>
      </c>
      <c r="B990" s="4">
        <f>DAY(E990)</f>
        <v>28</v>
      </c>
      <c r="C990" s="4">
        <f>MONTH(E990)</f>
        <v>12</v>
      </c>
      <c r="D990" s="4">
        <f>YEAR(E990)</f>
        <v>2023</v>
      </c>
      <c r="E990" s="3">
        <v>45288</v>
      </c>
      <c r="F990" s="4" t="s">
        <v>1020</v>
      </c>
      <c r="G990" s="4" t="s">
        <v>7</v>
      </c>
      <c r="H990" s="4">
        <v>44</v>
      </c>
      <c r="I990" s="4" t="str" cm="1">
        <f t="array" ref="I990">_xlfn.IFS(H990&lt;30, "Young Adult", H990&lt;50, "Adult", H990&gt;=50, "Senior")</f>
        <v>Adult</v>
      </c>
      <c r="J990" s="4" t="s">
        <v>4</v>
      </c>
      <c r="K990" s="4">
        <v>1</v>
      </c>
      <c r="L990" s="16">
        <v>25</v>
      </c>
      <c r="M990" s="16">
        <f xml:space="preserve"> K990 * L990</f>
        <v>25</v>
      </c>
      <c r="N990" s="16">
        <f>M990 * $Q$3</f>
        <v>0.375</v>
      </c>
      <c r="O990" s="16">
        <f>M990 * $Q$4</f>
        <v>0.5</v>
      </c>
    </row>
    <row r="991" spans="1:15">
      <c r="A991" s="2">
        <v>990</v>
      </c>
      <c r="B991" s="4">
        <f>DAY(E991)</f>
        <v>25</v>
      </c>
      <c r="C991" s="4">
        <f>MONTH(E991)</f>
        <v>5</v>
      </c>
      <c r="D991" s="4">
        <f>YEAR(E991)</f>
        <v>2023</v>
      </c>
      <c r="E991" s="3">
        <v>45071</v>
      </c>
      <c r="F991" s="4" t="s">
        <v>1021</v>
      </c>
      <c r="G991" s="4" t="s">
        <v>7</v>
      </c>
      <c r="H991" s="4">
        <v>58</v>
      </c>
      <c r="I991" s="4" t="str" cm="1">
        <f t="array" ref="I991">_xlfn.IFS(H991&lt;30, "Young Adult", H991&lt;50, "Adult", H991&gt;=50, "Senior")</f>
        <v>Senior</v>
      </c>
      <c r="J991" s="4" t="s">
        <v>2</v>
      </c>
      <c r="K991" s="4">
        <v>2</v>
      </c>
      <c r="L991" s="16">
        <v>500</v>
      </c>
      <c r="M991" s="16">
        <f xml:space="preserve"> K991 * L991</f>
        <v>1000</v>
      </c>
      <c r="N991" s="16">
        <f>M991 * $Q$3</f>
        <v>15</v>
      </c>
      <c r="O991" s="16">
        <f>M991 * $Q$4</f>
        <v>20</v>
      </c>
    </row>
    <row r="992" spans="1:15">
      <c r="A992" s="2">
        <v>991</v>
      </c>
      <c r="B992" s="4">
        <f>DAY(E992)</f>
        <v>26</v>
      </c>
      <c r="C992" s="4">
        <f>MONTH(E992)</f>
        <v>12</v>
      </c>
      <c r="D992" s="4">
        <f>YEAR(E992)</f>
        <v>2023</v>
      </c>
      <c r="E992" s="3">
        <v>45286</v>
      </c>
      <c r="F992" s="4" t="s">
        <v>1022</v>
      </c>
      <c r="G992" s="4" t="s">
        <v>7</v>
      </c>
      <c r="H992" s="4">
        <v>34</v>
      </c>
      <c r="I992" s="4" t="str" cm="1">
        <f t="array" ref="I992">_xlfn.IFS(H992&lt;30, "Young Adult", H992&lt;50, "Adult", H992&gt;=50, "Senior")</f>
        <v>Adult</v>
      </c>
      <c r="J992" s="4" t="s">
        <v>3</v>
      </c>
      <c r="K992" s="4">
        <v>2</v>
      </c>
      <c r="L992" s="16">
        <v>50</v>
      </c>
      <c r="M992" s="16">
        <f xml:space="preserve"> K992 * L992</f>
        <v>100</v>
      </c>
      <c r="N992" s="16">
        <f>M992 * $Q$3</f>
        <v>1.5</v>
      </c>
      <c r="O992" s="16">
        <f>M992 * $Q$4</f>
        <v>2</v>
      </c>
    </row>
    <row r="993" spans="1:15">
      <c r="A993" s="2">
        <v>992</v>
      </c>
      <c r="B993" s="4">
        <f>DAY(E993)</f>
        <v>21</v>
      </c>
      <c r="C993" s="4">
        <f>MONTH(E993)</f>
        <v>8</v>
      </c>
      <c r="D993" s="4">
        <f>YEAR(E993)</f>
        <v>2023</v>
      </c>
      <c r="E993" s="3">
        <v>45159</v>
      </c>
      <c r="F993" s="4" t="s">
        <v>1023</v>
      </c>
      <c r="G993" s="4" t="s">
        <v>7</v>
      </c>
      <c r="H993" s="4">
        <v>57</v>
      </c>
      <c r="I993" s="4" t="str" cm="1">
        <f t="array" ref="I993">_xlfn.IFS(H993&lt;30, "Young Adult", H993&lt;50, "Adult", H993&gt;=50, "Senior")</f>
        <v>Senior</v>
      </c>
      <c r="J993" s="4" t="s">
        <v>4</v>
      </c>
      <c r="K993" s="4">
        <v>2</v>
      </c>
      <c r="L993" s="16">
        <v>30</v>
      </c>
      <c r="M993" s="16">
        <f xml:space="preserve"> K993 * L993</f>
        <v>60</v>
      </c>
      <c r="N993" s="16">
        <f>M993 * $Q$3</f>
        <v>0.89999999999999991</v>
      </c>
      <c r="O993" s="16">
        <f>M993 * $Q$4</f>
        <v>1.2</v>
      </c>
    </row>
    <row r="994" spans="1:15">
      <c r="A994" s="2">
        <v>993</v>
      </c>
      <c r="B994" s="4">
        <f>DAY(E994)</f>
        <v>6</v>
      </c>
      <c r="C994" s="4">
        <f>MONTH(E994)</f>
        <v>2</v>
      </c>
      <c r="D994" s="4">
        <f>YEAR(E994)</f>
        <v>2023</v>
      </c>
      <c r="E994" s="3">
        <v>44963</v>
      </c>
      <c r="F994" s="4" t="s">
        <v>1024</v>
      </c>
      <c r="G994" s="4" t="s">
        <v>7</v>
      </c>
      <c r="H994" s="4">
        <v>48</v>
      </c>
      <c r="I994" s="4" t="str" cm="1">
        <f t="array" ref="I994">_xlfn.IFS(H994&lt;30, "Young Adult", H994&lt;50, "Adult", H994&gt;=50, "Senior")</f>
        <v>Adult</v>
      </c>
      <c r="J994" s="4" t="s">
        <v>4</v>
      </c>
      <c r="K994" s="4">
        <v>3</v>
      </c>
      <c r="L994" s="16">
        <v>50</v>
      </c>
      <c r="M994" s="16">
        <f xml:space="preserve"> K994 * L994</f>
        <v>150</v>
      </c>
      <c r="N994" s="16">
        <f>M994 * $Q$3</f>
        <v>2.25</v>
      </c>
      <c r="O994" s="16">
        <f>M994 * $Q$4</f>
        <v>3</v>
      </c>
    </row>
    <row r="995" spans="1:15">
      <c r="A995" s="2">
        <v>994</v>
      </c>
      <c r="B995" s="4">
        <f>DAY(E995)</f>
        <v>18</v>
      </c>
      <c r="C995" s="4">
        <f>MONTH(E995)</f>
        <v>12</v>
      </c>
      <c r="D995" s="4">
        <f>YEAR(E995)</f>
        <v>2023</v>
      </c>
      <c r="E995" s="3">
        <v>45278</v>
      </c>
      <c r="F995" s="4" t="s">
        <v>1025</v>
      </c>
      <c r="G995" s="4" t="s">
        <v>7</v>
      </c>
      <c r="H995" s="4">
        <v>51</v>
      </c>
      <c r="I995" s="4" t="str" cm="1">
        <f t="array" ref="I995">_xlfn.IFS(H995&lt;30, "Young Adult", H995&lt;50, "Adult", H995&gt;=50, "Senior")</f>
        <v>Senior</v>
      </c>
      <c r="J995" s="4" t="s">
        <v>2</v>
      </c>
      <c r="K995" s="4">
        <v>2</v>
      </c>
      <c r="L995" s="16">
        <v>500</v>
      </c>
      <c r="M995" s="16">
        <f xml:space="preserve"> K995 * L995</f>
        <v>1000</v>
      </c>
      <c r="N995" s="16">
        <f>M995 * $Q$3</f>
        <v>15</v>
      </c>
      <c r="O995" s="16">
        <f>M995 * $Q$4</f>
        <v>20</v>
      </c>
    </row>
    <row r="996" spans="1:15">
      <c r="A996" s="2">
        <v>995</v>
      </c>
      <c r="B996" s="4">
        <f>DAY(E996)</f>
        <v>30</v>
      </c>
      <c r="C996" s="4">
        <f>MONTH(E996)</f>
        <v>4</v>
      </c>
      <c r="D996" s="4">
        <f>YEAR(E996)</f>
        <v>2023</v>
      </c>
      <c r="E996" s="3">
        <v>45046</v>
      </c>
      <c r="F996" s="4" t="s">
        <v>1026</v>
      </c>
      <c r="G996" s="4" t="s">
        <v>7</v>
      </c>
      <c r="H996" s="4">
        <v>41</v>
      </c>
      <c r="I996" s="4" t="str" cm="1">
        <f t="array" ref="I996">_xlfn.IFS(H996&lt;30, "Young Adult", H996&lt;50, "Adult", H996&gt;=50, "Senior")</f>
        <v>Adult</v>
      </c>
      <c r="J996" s="4" t="s">
        <v>3</v>
      </c>
      <c r="K996" s="4">
        <v>1</v>
      </c>
      <c r="L996" s="16">
        <v>30</v>
      </c>
      <c r="M996" s="16">
        <f xml:space="preserve"> K996 * L996</f>
        <v>30</v>
      </c>
      <c r="N996" s="16">
        <f>M996 * $Q$3</f>
        <v>0.44999999999999996</v>
      </c>
      <c r="O996" s="16">
        <f>M996 * $Q$4</f>
        <v>0.6</v>
      </c>
    </row>
    <row r="997" spans="1:15">
      <c r="A997" s="2">
        <v>996</v>
      </c>
      <c r="B997" s="4">
        <f>DAY(E997)</f>
        <v>16</v>
      </c>
      <c r="C997" s="4">
        <f>MONTH(E997)</f>
        <v>5</v>
      </c>
      <c r="D997" s="4">
        <f>YEAR(E997)</f>
        <v>2023</v>
      </c>
      <c r="E997" s="3">
        <v>45062</v>
      </c>
      <c r="F997" s="4" t="s">
        <v>1027</v>
      </c>
      <c r="G997" s="4" t="s">
        <v>8</v>
      </c>
      <c r="H997" s="4">
        <v>62</v>
      </c>
      <c r="I997" s="4" t="str" cm="1">
        <f t="array" ref="I997">_xlfn.IFS(H997&lt;30, "Young Adult", H997&lt;50, "Adult", H997&gt;=50, "Senior")</f>
        <v>Senior</v>
      </c>
      <c r="J997" s="4" t="s">
        <v>3</v>
      </c>
      <c r="K997" s="4">
        <v>1</v>
      </c>
      <c r="L997" s="16">
        <v>50</v>
      </c>
      <c r="M997" s="16">
        <f xml:space="preserve"> K997 * L997</f>
        <v>50</v>
      </c>
      <c r="N997" s="16">
        <f>M997 * $Q$3</f>
        <v>0.75</v>
      </c>
      <c r="O997" s="16">
        <f>M997 * $Q$4</f>
        <v>1</v>
      </c>
    </row>
    <row r="998" spans="1:15">
      <c r="A998" s="2">
        <v>997</v>
      </c>
      <c r="B998" s="4">
        <f>DAY(E998)</f>
        <v>17</v>
      </c>
      <c r="C998" s="4">
        <f>MONTH(E998)</f>
        <v>11</v>
      </c>
      <c r="D998" s="4">
        <f>YEAR(E998)</f>
        <v>2023</v>
      </c>
      <c r="E998" s="3">
        <v>45247</v>
      </c>
      <c r="F998" s="4" t="s">
        <v>1028</v>
      </c>
      <c r="G998" s="4" t="s">
        <v>8</v>
      </c>
      <c r="H998" s="4">
        <v>52</v>
      </c>
      <c r="I998" s="4" t="str" cm="1">
        <f t="array" ref="I998">_xlfn.IFS(H998&lt;30, "Young Adult", H998&lt;50, "Adult", H998&gt;=50, "Senior")</f>
        <v>Senior</v>
      </c>
      <c r="J998" s="4" t="s">
        <v>2</v>
      </c>
      <c r="K998" s="4">
        <v>3</v>
      </c>
      <c r="L998" s="16">
        <v>30</v>
      </c>
      <c r="M998" s="16">
        <f xml:space="preserve"> K998 * L998</f>
        <v>90</v>
      </c>
      <c r="N998" s="16">
        <f>M998 * $Q$3</f>
        <v>1.3499999999999999</v>
      </c>
      <c r="O998" s="16">
        <f>M998 * $Q$4</f>
        <v>1.8</v>
      </c>
    </row>
    <row r="999" spans="1:15">
      <c r="A999" s="2">
        <v>998</v>
      </c>
      <c r="B999" s="4">
        <f>DAY(E999)</f>
        <v>29</v>
      </c>
      <c r="C999" s="4">
        <f>MONTH(E999)</f>
        <v>10</v>
      </c>
      <c r="D999" s="4">
        <f>YEAR(E999)</f>
        <v>2023</v>
      </c>
      <c r="E999" s="3">
        <v>45228</v>
      </c>
      <c r="F999" s="4" t="s">
        <v>1029</v>
      </c>
      <c r="G999" s="4" t="s">
        <v>7</v>
      </c>
      <c r="H999" s="4">
        <v>23</v>
      </c>
      <c r="I999" s="4" t="str" cm="1">
        <f t="array" ref="I999">_xlfn.IFS(H999&lt;30, "Young Adult", H999&lt;50, "Adult", H999&gt;=50, "Senior")</f>
        <v>Young Adult</v>
      </c>
      <c r="J999" s="4" t="s">
        <v>2</v>
      </c>
      <c r="K999" s="4">
        <v>4</v>
      </c>
      <c r="L999" s="16">
        <v>25</v>
      </c>
      <c r="M999" s="16">
        <f xml:space="preserve"> K999 * L999</f>
        <v>100</v>
      </c>
      <c r="N999" s="16">
        <f>M999 * $Q$3</f>
        <v>1.5</v>
      </c>
      <c r="O999" s="16">
        <f>M999 * $Q$4</f>
        <v>2</v>
      </c>
    </row>
    <row r="1000" spans="1:15">
      <c r="A1000" s="2">
        <v>999</v>
      </c>
      <c r="B1000" s="4">
        <f>DAY(E1000)</f>
        <v>5</v>
      </c>
      <c r="C1000" s="4">
        <f>MONTH(E1000)</f>
        <v>12</v>
      </c>
      <c r="D1000" s="4">
        <f>YEAR(E1000)</f>
        <v>2023</v>
      </c>
      <c r="E1000" s="3">
        <v>45265</v>
      </c>
      <c r="F1000" s="4" t="s">
        <v>1030</v>
      </c>
      <c r="G1000" s="4" t="s">
        <v>7</v>
      </c>
      <c r="H1000" s="4">
        <v>36</v>
      </c>
      <c r="I1000" s="4" t="str" cm="1">
        <f t="array" ref="I1000">_xlfn.IFS(H1000&lt;30, "Young Adult", H1000&lt;50, "Adult", H1000&gt;=50, "Senior")</f>
        <v>Adult</v>
      </c>
      <c r="J1000" s="4" t="s">
        <v>4</v>
      </c>
      <c r="K1000" s="4">
        <v>3</v>
      </c>
      <c r="L1000" s="16">
        <v>50</v>
      </c>
      <c r="M1000" s="16">
        <f xml:space="preserve"> K1000 * L1000</f>
        <v>150</v>
      </c>
      <c r="N1000" s="16">
        <f>M1000 * $Q$3</f>
        <v>2.25</v>
      </c>
      <c r="O1000" s="16">
        <f>M1000 * $Q$4</f>
        <v>3</v>
      </c>
    </row>
    <row r="1001" spans="1:15">
      <c r="A1001" s="5">
        <v>1000</v>
      </c>
      <c r="B1001" s="4">
        <f>DAY(E1001)</f>
        <v>12</v>
      </c>
      <c r="C1001" s="4">
        <f>MONTH(E1001)</f>
        <v>4</v>
      </c>
      <c r="D1001" s="4">
        <f>YEAR(E1001)</f>
        <v>2023</v>
      </c>
      <c r="E1001" s="6">
        <v>45028</v>
      </c>
      <c r="F1001" s="7" t="s">
        <v>1031</v>
      </c>
      <c r="G1001" s="7" t="s">
        <v>8</v>
      </c>
      <c r="H1001" s="7">
        <v>47</v>
      </c>
      <c r="I1001" s="4" t="str" cm="1">
        <f t="array" ref="I1001">_xlfn.IFS(H1001&lt;30, "Young Adult", H1001&lt;50, "Adult", H1001&gt;=50, "Senior")</f>
        <v>Adult</v>
      </c>
      <c r="J1001" s="7" t="s">
        <v>4</v>
      </c>
      <c r="K1001" s="7">
        <v>4</v>
      </c>
      <c r="L1001" s="18">
        <v>30</v>
      </c>
      <c r="M1001" s="16">
        <f xml:space="preserve"> K1001 * L1001</f>
        <v>120</v>
      </c>
      <c r="N1001" s="16">
        <f>M1001 * $Q$3</f>
        <v>1.7999999999999998</v>
      </c>
      <c r="O1001" s="16">
        <f>M1001 * $Q$4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conditionalFormatting sqref="I1:I1048576">
    <cfRule type="cellIs" dxfId="4" priority="5" operator="equal">
      <formula>"Young Adult"</formula>
    </cfRule>
  </conditionalFormatting>
  <conditionalFormatting sqref="I1:I1048576">
    <cfRule type="cellIs" dxfId="3" priority="4" operator="equal">
      <formula>"Adult"</formula>
    </cfRule>
  </conditionalFormatting>
  <conditionalFormatting sqref="I1:I1048576">
    <cfRule type="cellIs" dxfId="2" priority="3" operator="equal">
      <formula>"Senior"</formula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{B9012DEC-3C98-45B9-A16A-A33336392B67}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12DEC-3C98-45B9-A16A-A33336392B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2"/>
  <sheetViews>
    <sheetView workbookViewId="0">
      <selection activeCell="B2" sqref="B2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13</v>
      </c>
      <c r="B1" s="1" t="s">
        <v>40</v>
      </c>
      <c r="C1" s="1" t="s">
        <v>1032</v>
      </c>
      <c r="D1" t="s">
        <v>1033</v>
      </c>
    </row>
    <row r="2" spans="1:4">
      <c r="A2">
        <v>10</v>
      </c>
      <c r="B2">
        <f>VLOOKUP(A2,retail_sales_dataset!$1:$1048576, 13, FALSE)</f>
        <v>200</v>
      </c>
      <c r="C2" t="str">
        <f>VLOOKUP(A2,retail_sales_dataset!$1:$1048576, 10,FALSE)</f>
        <v>Clothing</v>
      </c>
      <c r="D2" t="str">
        <f>CONCATENATE(B2, "", C2)</f>
        <v>200Clothing</v>
      </c>
    </row>
    <row r="3" spans="1:4">
      <c r="A3">
        <v>15</v>
      </c>
      <c r="B3">
        <f>VLOOKUP(A3,retail_sales_dataset!$1:$1048576, 13, FALSE)</f>
        <v>2000</v>
      </c>
      <c r="C3" t="str">
        <f>VLOOKUP(A3,retail_sales_dataset!$1:$1048576, 10,FALSE)</f>
        <v>Electronics</v>
      </c>
      <c r="D3" t="str">
        <f t="shared" ref="D3:D10" si="0">CONCATENATE(B3, "", C3)</f>
        <v>2000Electronics</v>
      </c>
    </row>
    <row r="4" spans="1:4">
      <c r="A4">
        <v>25</v>
      </c>
      <c r="B4">
        <f>VLOOKUP(A4,retail_sales_dataset!$1:$1048576, 13, FALSE)</f>
        <v>50</v>
      </c>
      <c r="C4" t="str">
        <f>VLOOKUP(A4,retail_sales_dataset!$1:$1048576, 10,FALSE)</f>
        <v>Beauty</v>
      </c>
      <c r="D4" t="str">
        <f t="shared" si="0"/>
        <v>50Beauty</v>
      </c>
    </row>
    <row r="5" spans="1:4">
      <c r="A5">
        <v>30</v>
      </c>
      <c r="B5">
        <f>VLOOKUP(A5,retail_sales_dataset!$1:$1048576, 13, FALSE)</f>
        <v>900</v>
      </c>
      <c r="C5" t="str">
        <f>VLOOKUP(A5,retail_sales_dataset!$1:$1048576, 10,FALSE)</f>
        <v>Beauty</v>
      </c>
      <c r="D5" t="str">
        <f t="shared" si="0"/>
        <v>900Beauty</v>
      </c>
    </row>
    <row r="6" spans="1:4">
      <c r="A6">
        <v>54</v>
      </c>
      <c r="B6">
        <f>VLOOKUP(A6,retail_sales_dataset!$1:$1048576, 13, FALSE)</f>
        <v>1500</v>
      </c>
      <c r="C6" t="str">
        <f>VLOOKUP(A6,retail_sales_dataset!$1:$1048576, 10,FALSE)</f>
        <v>Electronics</v>
      </c>
      <c r="D6" t="str">
        <f t="shared" si="0"/>
        <v>1500Electronics</v>
      </c>
    </row>
    <row r="7" spans="1:4">
      <c r="A7">
        <v>55</v>
      </c>
      <c r="B7">
        <f>VLOOKUP(A7,retail_sales_dataset!$1:$1048576, 13, FALSE)</f>
        <v>120</v>
      </c>
      <c r="C7" t="str">
        <f>VLOOKUP(A7,retail_sales_dataset!$1:$1048576, 10,FALSE)</f>
        <v>Beauty</v>
      </c>
      <c r="D7" t="str">
        <f t="shared" si="0"/>
        <v>120Beauty</v>
      </c>
    </row>
    <row r="8" spans="1:4">
      <c r="A8">
        <v>67</v>
      </c>
      <c r="B8">
        <f>VLOOKUP(A8,retail_sales_dataset!$1:$1048576, 13, FALSE)</f>
        <v>1200</v>
      </c>
      <c r="C8" t="str">
        <f>VLOOKUP(A8,retail_sales_dataset!$1:$1048576, 10,FALSE)</f>
        <v>Beauty</v>
      </c>
      <c r="D8" t="str">
        <f t="shared" si="0"/>
        <v>1200Beauty</v>
      </c>
    </row>
    <row r="9" spans="1:4">
      <c r="A9">
        <v>89</v>
      </c>
      <c r="B9">
        <f>VLOOKUP(A9,retail_sales_dataset!$1:$1048576, 13, FALSE)</f>
        <v>2000</v>
      </c>
      <c r="C9" t="str">
        <f>VLOOKUP(A9,retail_sales_dataset!$1:$1048576, 10,FALSE)</f>
        <v>Electronics</v>
      </c>
      <c r="D9" t="str">
        <f t="shared" si="0"/>
        <v>2000Electronics</v>
      </c>
    </row>
    <row r="10" spans="1:4">
      <c r="A10">
        <v>100</v>
      </c>
      <c r="B10">
        <f>VLOOKUP(A10,retail_sales_dataset!$1:$1048576, 13, FALSE)</f>
        <v>30</v>
      </c>
      <c r="C10" t="str">
        <f>VLOOKUP(A10,retail_sales_dataset!$1:$1048576, 10,FALSE)</f>
        <v>Electronics</v>
      </c>
      <c r="D10" t="str">
        <f t="shared" si="0"/>
        <v>30Electronics</v>
      </c>
    </row>
    <row r="11" spans="1:4">
      <c r="B11" t="s">
        <v>1034</v>
      </c>
    </row>
    <row r="12" spans="1:4">
      <c r="A12">
        <f>COUNTA(A2:A10)</f>
        <v>9</v>
      </c>
      <c r="B12">
        <f>COUNT(B2:B10)</f>
        <v>9</v>
      </c>
      <c r="C12">
        <f>COUNT(C2)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E11" sqref="E11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1" t="s">
        <v>1035</v>
      </c>
      <c r="B1" s="12" t="s">
        <v>1036</v>
      </c>
      <c r="C1" s="12" t="s">
        <v>1037</v>
      </c>
      <c r="D1" s="12" t="s">
        <v>1038</v>
      </c>
      <c r="E1" s="12" t="s">
        <v>1039</v>
      </c>
      <c r="F1" s="12" t="s">
        <v>1040</v>
      </c>
    </row>
    <row r="2" spans="1:6">
      <c r="A2" s="13" t="s">
        <v>1041</v>
      </c>
      <c r="B2" s="11">
        <v>80</v>
      </c>
      <c r="C2" s="11">
        <v>75</v>
      </c>
      <c r="D2" s="11">
        <v>90</v>
      </c>
      <c r="E2" s="11">
        <f>AVERAGE(B2:D2)</f>
        <v>81.666666666666671</v>
      </c>
      <c r="F2" s="11">
        <f>MAX(B2:D2)</f>
        <v>90</v>
      </c>
    </row>
    <row r="3" spans="1:6">
      <c r="A3" s="13" t="s">
        <v>1042</v>
      </c>
      <c r="B3" s="11">
        <v>90</v>
      </c>
      <c r="C3" s="11">
        <v>50</v>
      </c>
      <c r="D3" s="11">
        <v>70</v>
      </c>
      <c r="E3" s="11">
        <f>AVERAGE(B3:D3)</f>
        <v>70</v>
      </c>
      <c r="F3" s="11">
        <f>MAX(B3:D3)</f>
        <v>90</v>
      </c>
    </row>
    <row r="4" spans="1:6">
      <c r="A4" s="11" t="s">
        <v>1043</v>
      </c>
      <c r="B4" s="11">
        <v>75</v>
      </c>
      <c r="C4" s="11">
        <v>85</v>
      </c>
      <c r="D4" s="11">
        <v>85</v>
      </c>
      <c r="E4" s="11">
        <f>AVERAGE(B4:D4)</f>
        <v>81.666666666666671</v>
      </c>
      <c r="F4" s="11">
        <f>MAX(B4:D4)</f>
        <v>85</v>
      </c>
    </row>
    <row r="5" spans="1:6">
      <c r="A5" s="13" t="s">
        <v>1044</v>
      </c>
      <c r="B5" s="11">
        <v>85</v>
      </c>
      <c r="C5" s="11">
        <v>75</v>
      </c>
      <c r="D5" s="11">
        <v>80</v>
      </c>
      <c r="E5" s="11">
        <f>AVERAGE(B5:D5)</f>
        <v>80</v>
      </c>
      <c r="F5" s="11">
        <f>MAX(B5:D5)</f>
        <v>85</v>
      </c>
    </row>
    <row r="6" spans="1:6">
      <c r="A6" s="13" t="s">
        <v>1045</v>
      </c>
      <c r="B6" s="11">
        <v>80</v>
      </c>
      <c r="C6" s="11">
        <v>70</v>
      </c>
      <c r="D6" s="11">
        <v>80</v>
      </c>
      <c r="E6" s="11">
        <f>AVERAGE(B6:D6)</f>
        <v>76.666666666666671</v>
      </c>
      <c r="F6" s="11">
        <f>MAX(B6:D6)</f>
        <v>80</v>
      </c>
    </row>
    <row r="7" spans="1:6">
      <c r="A7" s="11" t="s">
        <v>1046</v>
      </c>
      <c r="B7" s="11">
        <v>80</v>
      </c>
      <c r="C7" s="11">
        <v>70</v>
      </c>
      <c r="D7" s="11">
        <v>80</v>
      </c>
      <c r="E7" s="11">
        <f>AVERAGE(B7:D7)</f>
        <v>76.666666666666671</v>
      </c>
      <c r="F7" s="11">
        <f>MAX(B7:D7)</f>
        <v>80</v>
      </c>
    </row>
    <row r="8" spans="1:6">
      <c r="A8" s="13" t="s">
        <v>1047</v>
      </c>
      <c r="B8" s="11">
        <v>65</v>
      </c>
      <c r="C8" s="11">
        <v>80</v>
      </c>
      <c r="D8" s="11">
        <v>70</v>
      </c>
      <c r="E8" s="11">
        <f>AVERAGE(B8:D8)</f>
        <v>71.666666666666671</v>
      </c>
      <c r="F8" s="11">
        <f>MAX(B8:D8)</f>
        <v>80</v>
      </c>
    </row>
    <row r="9" spans="1:6">
      <c r="A9" s="11" t="s">
        <v>1048</v>
      </c>
      <c r="B9" s="11">
        <v>55</v>
      </c>
      <c r="C9" s="11">
        <v>80</v>
      </c>
      <c r="D9" s="11">
        <v>60</v>
      </c>
      <c r="E9" s="11">
        <f>AVERAGE(B9:D9)</f>
        <v>65</v>
      </c>
      <c r="F9" s="11">
        <f>MAX(B9:D9)</f>
        <v>80</v>
      </c>
    </row>
    <row r="10" spans="1:6">
      <c r="A10" s="13" t="s">
        <v>1049</v>
      </c>
      <c r="B10" s="11">
        <v>55</v>
      </c>
      <c r="C10" s="11">
        <v>70</v>
      </c>
      <c r="D10" s="11">
        <v>65</v>
      </c>
      <c r="E10" s="11">
        <f>AVERAGE(B10:D10)</f>
        <v>63.333333333333336</v>
      </c>
      <c r="F10" s="11">
        <f>MAX(B10:D10)</f>
        <v>70</v>
      </c>
    </row>
    <row r="11" spans="1:6">
      <c r="A11" s="11" t="s">
        <v>1050</v>
      </c>
      <c r="B11" s="11">
        <v>55</v>
      </c>
      <c r="C11" s="11">
        <v>30</v>
      </c>
      <c r="D11" s="11">
        <v>65</v>
      </c>
      <c r="E11" s="11">
        <f>AVERAGE(B11:D11)</f>
        <v>50</v>
      </c>
      <c r="F11" s="11">
        <f>MAX(B11:D11)</f>
        <v>65</v>
      </c>
    </row>
    <row r="14" spans="1:6">
      <c r="A14" t="s">
        <v>1051</v>
      </c>
    </row>
    <row r="15" spans="1:6">
      <c r="A15" t="s">
        <v>1052</v>
      </c>
    </row>
    <row r="16" spans="1:6">
      <c r="A16" t="s">
        <v>1053</v>
      </c>
    </row>
    <row r="17" spans="1:1">
      <c r="A17" t="s">
        <v>1054</v>
      </c>
    </row>
    <row r="18" spans="1:1">
      <c r="A18" t="s">
        <v>1055</v>
      </c>
    </row>
    <row r="19" spans="1:1">
      <c r="A19" t="s">
        <v>1056</v>
      </c>
    </row>
    <row r="20" spans="1:1">
      <c r="A20" t="s">
        <v>1057</v>
      </c>
    </row>
  </sheetData>
  <autoFilter ref="A1:F11" xr:uid="{3029549F-D9F2-4BBA-B41C-4FB67985CEC1}">
    <sortState xmlns:xlrd2="http://schemas.microsoft.com/office/spreadsheetml/2017/richdata2" ref="A2:F11">
      <sortCondition descending="1" ref="F1:F11"/>
    </sortState>
  </autoFilter>
  <conditionalFormatting sqref="E1:E11">
    <cfRule type="top10" dxfId="1" priority="2" rank="1"/>
  </conditionalFormatting>
  <conditionalFormatting sqref="E1:E11">
    <cfRule type="top10" dxfId="0" priority="1" bottom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Props1.xml><?xml version="1.0" encoding="utf-8"?>
<ds:datastoreItem xmlns:ds="http://schemas.openxmlformats.org/officeDocument/2006/customXml" ds:itemID="{A4B88D49-EA58-47E5-AA07-36D60BC9149C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B46F128A-B7FE-46C0-9B9B-600600B1B28E}"/>
</file>

<file path=customXml/itemProps4.xml><?xml version="1.0" encoding="utf-8"?>
<ds:datastoreItem xmlns:ds="http://schemas.openxmlformats.org/officeDocument/2006/customXml" ds:itemID="{19C66761-A138-4D29-95EB-4CF018C84C81}"/>
</file>

<file path=customXml/itemProps5.xml><?xml version="1.0" encoding="utf-8"?>
<ds:datastoreItem xmlns:ds="http://schemas.openxmlformats.org/officeDocument/2006/customXml" ds:itemID="{E643224C-1CC4-4A7F-A567-22ECFBDF619E}"/>
</file>

<file path=customXml/itemProps6.xml><?xml version="1.0" encoding="utf-8"?>
<ds:datastoreItem xmlns:ds="http://schemas.openxmlformats.org/officeDocument/2006/customXml" ds:itemID="{0ECF1352-6F0C-4E7B-8AFB-2EA761E69D98}"/>
</file>

<file path=customXml/itemProps7.xml><?xml version="1.0" encoding="utf-8"?>
<ds:datastoreItem xmlns:ds="http://schemas.openxmlformats.org/officeDocument/2006/customXml" ds:itemID="{DD9334D5-6C08-4A46-AD2C-FA9BF6D4670C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8B7F014E-65B1-48DD-A1AF-A79E02398FCF}"/>
</file>

<file path=customXml/itemProps10.xml><?xml version="1.0" encoding="utf-8"?>
<ds:datastoreItem xmlns:ds="http://schemas.openxmlformats.org/officeDocument/2006/customXml" ds:itemID="{82F3FFA2-A909-498D-9BC6-33DF5B99923B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1E676F48-35FA-408A-8277-537E0F9C2E59}"/>
</file>

<file path=customXml/itemProps13.xml><?xml version="1.0" encoding="utf-8"?>
<ds:datastoreItem xmlns:ds="http://schemas.openxmlformats.org/officeDocument/2006/customXml" ds:itemID="{09B95C5D-16BB-4BEF-B316-6D3A8C9DD811}"/>
</file>

<file path=customXml/itemProps14.xml><?xml version="1.0" encoding="utf-8"?>
<ds:datastoreItem xmlns:ds="http://schemas.openxmlformats.org/officeDocument/2006/customXml" ds:itemID="{FE6DF61C-7ABD-44B9-B769-8F2899BB81F7}"/>
</file>

<file path=customXml/itemProps15.xml><?xml version="1.0" encoding="utf-8"?>
<ds:datastoreItem xmlns:ds="http://schemas.openxmlformats.org/officeDocument/2006/customXml" ds:itemID="{6DA07CEC-807D-4764-A388-A6BBED7640E0}"/>
</file>

<file path=customXml/itemProps16.xml><?xml version="1.0" encoding="utf-8"?>
<ds:datastoreItem xmlns:ds="http://schemas.openxmlformats.org/officeDocument/2006/customXml" ds:itemID="{06D295F5-8058-4546-A127-35DC9120150C}"/>
</file>

<file path=customXml/itemProps17.xml><?xml version="1.0" encoding="utf-8"?>
<ds:datastoreItem xmlns:ds="http://schemas.openxmlformats.org/officeDocument/2006/customXml" ds:itemID="{15575EC4-E142-4B68-9BA1-7D9F83EA5067}"/>
</file>

<file path=customXml/itemProps18.xml><?xml version="1.0" encoding="utf-8"?>
<ds:datastoreItem xmlns:ds="http://schemas.openxmlformats.org/officeDocument/2006/customXml" ds:itemID="{A85E162B-7A50-4957-AE78-A5F153441C86}"/>
</file>

<file path=customXml/itemProps19.xml><?xml version="1.0" encoding="utf-8"?>
<ds:datastoreItem xmlns:ds="http://schemas.openxmlformats.org/officeDocument/2006/customXml" ds:itemID="{3E8CB0BE-C4BA-4913-9C77-CD4B14410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2026-10-26T13:51:16Z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