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DF3CCAB2-0680-4D68-BEE4-60894B021297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2" l="1"/>
  <c r="K27" i="2"/>
  <c r="J27" i="2"/>
  <c r="I27" i="2"/>
  <c r="B24" i="2"/>
  <c r="P23" i="2"/>
  <c r="E29" i="3" a="1"/>
  <c r="E29" i="3"/>
  <c r="H22" i="3"/>
  <c r="H21" i="3"/>
  <c r="G22" i="3"/>
  <c r="G21" i="3"/>
  <c r="F22" i="3"/>
  <c r="F21" i="3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B20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<sst xmlns="http://schemas.openxmlformats.org/spreadsheetml/2006/main" count="110" uniqueCount="50">
  <si>
    <t>Payroll</t>
  </si>
  <si>
    <t>Payroll Rules</t>
  </si>
  <si>
    <t>hmrc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</si>
  <si>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</si>
  <si>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</si>
  <si>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</si>
  <si>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</si>
  <si>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</si>
  <si>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</si>
  <si>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</si>
  <si>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</si>
  <si>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</si>
  <si>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</si>
  <si>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</si>
  <si>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</si>
  <si>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</si>
  <si>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</si>
  <si>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</si>
  <si>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</si>
  <si>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</si>
  <si>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</si>
  <si>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</si>
  <si>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</si>
  <si>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</si>
  <si>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</si>
  <si>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</si>
  <si>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</si>
  <si>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</si>
  <si>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</si>
  <si>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</si>
  <si>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</si>
  <si>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</si>
  <si>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</si>
  <si>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</si>
  <si>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</si>
  <si>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start date</t>
  </si>
  <si>
    <t>monday</t>
  </si>
  <si>
    <t>M</t>
  </si>
  <si>
    <t>Sales</t>
  </si>
  <si>
    <t>tuesday</t>
  </si>
  <si>
    <t>Purchasing</t>
  </si>
  <si>
    <t>wednesday</t>
  </si>
  <si>
    <t>F</t>
  </si>
  <si>
    <t>Logistics</t>
  </si>
  <si>
    <t>thursday</t>
  </si>
  <si>
    <t>friday</t>
  </si>
  <si>
    <t>saturday</t>
  </si>
  <si>
    <t>sunday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</si>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</sst>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opLeftCell="A11" workbookViewId="0">
      <selection activeCell="E27" sqref="E27:I27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F3" s="17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>
        <f>SUM(B23:O23)</f>
        <v>4111.0968990384617</v>
      </c>
      <c r="Q23" s="18"/>
      <c r="R23" s="18"/>
    </row>
    <row r="24" spans="1:18" ht="15.75" thickTop="1">
      <c r="B24" s="10">
        <f>SUM(B19:B23)</f>
        <v>1565.5307692307692</v>
      </c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8">
      <c r="E27">
        <v>10</v>
      </c>
      <c r="F27">
        <v>20</v>
      </c>
      <c r="G27">
        <v>30</v>
      </c>
      <c r="H27">
        <v>40</v>
      </c>
      <c r="I27">
        <f>AVERAGE(E27:H27)</f>
        <v>25</v>
      </c>
      <c r="J27">
        <f>AVERAGE(E27:H27)</f>
        <v>25</v>
      </c>
      <c r="K27">
        <f>MAX(E27:H27)</f>
        <v>40</v>
      </c>
      <c r="L27">
        <f>MIN(E27:H27)</f>
        <v>10</v>
      </c>
    </row>
  </sheetData>
  <sheetProtection pivotTables="0"/>
  <hyperlinks>
    <hyperlink ref="F3" r:id="rId1" xr:uid="{27A15259-3FAE-40C2-9A10-CF4FBE20E0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selection activeCell="E4" sqref="E4:E17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  <c r="E3" t="s">
        <v>35</v>
      </c>
      <c r="F3">
        <v>100</v>
      </c>
      <c r="G3" t="s">
        <v>36</v>
      </c>
    </row>
    <row r="4" spans="1:10">
      <c r="A4" t="s">
        <v>6</v>
      </c>
      <c r="B4" t="s">
        <v>37</v>
      </c>
      <c r="C4" s="26">
        <v>37864</v>
      </c>
      <c r="D4" t="s">
        <v>38</v>
      </c>
      <c r="F4">
        <v>100</v>
      </c>
      <c r="G4" t="s">
        <v>39</v>
      </c>
      <c r="H4" s="20"/>
    </row>
    <row r="5" spans="1:10">
      <c r="A5" t="s">
        <v>7</v>
      </c>
      <c r="B5" t="s">
        <v>37</v>
      </c>
      <c r="C5" s="26">
        <v>26148</v>
      </c>
      <c r="D5" t="s">
        <v>40</v>
      </c>
      <c r="F5">
        <v>100</v>
      </c>
      <c r="G5" t="s">
        <v>41</v>
      </c>
      <c r="H5" s="20"/>
    </row>
    <row r="6" spans="1:10">
      <c r="A6" t="s">
        <v>8</v>
      </c>
      <c r="B6" t="s">
        <v>42</v>
      </c>
      <c r="C6" s="26">
        <v>26345</v>
      </c>
      <c r="D6" t="s">
        <v>43</v>
      </c>
      <c r="F6">
        <v>100</v>
      </c>
      <c r="G6" t="s">
        <v>44</v>
      </c>
      <c r="H6" s="20"/>
    </row>
    <row r="7" spans="1:10">
      <c r="A7" t="s">
        <v>9</v>
      </c>
      <c r="B7" t="s">
        <v>42</v>
      </c>
      <c r="C7" s="26">
        <v>23562</v>
      </c>
      <c r="D7" t="s">
        <v>38</v>
      </c>
      <c r="F7">
        <v>100</v>
      </c>
      <c r="G7" t="s">
        <v>45</v>
      </c>
    </row>
    <row r="8" spans="1:10">
      <c r="A8" t="s">
        <v>10</v>
      </c>
      <c r="B8" t="s">
        <v>37</v>
      </c>
      <c r="C8" s="26">
        <v>19888</v>
      </c>
      <c r="D8" t="s">
        <v>43</v>
      </c>
      <c r="F8">
        <v>100</v>
      </c>
      <c r="G8" t="s">
        <v>46</v>
      </c>
    </row>
    <row r="9" spans="1:10">
      <c r="A9" t="s">
        <v>11</v>
      </c>
      <c r="B9" t="s">
        <v>37</v>
      </c>
      <c r="C9" s="26">
        <v>32918</v>
      </c>
      <c r="D9" t="s">
        <v>40</v>
      </c>
      <c r="F9">
        <v>100</v>
      </c>
      <c r="G9" t="s">
        <v>47</v>
      </c>
      <c r="J9" s="19"/>
    </row>
    <row r="10" spans="1:10">
      <c r="A10" t="s">
        <v>12</v>
      </c>
      <c r="B10" t="s">
        <v>37</v>
      </c>
      <c r="C10" s="26">
        <v>18931</v>
      </c>
      <c r="D10" t="s">
        <v>38</v>
      </c>
      <c r="F10">
        <v>100</v>
      </c>
      <c r="G10" t="s">
        <v>36</v>
      </c>
      <c r="J10" s="19"/>
    </row>
    <row r="11" spans="1:10">
      <c r="A11" t="s">
        <v>13</v>
      </c>
      <c r="B11" t="s">
        <v>37</v>
      </c>
      <c r="C11" s="26">
        <v>32829</v>
      </c>
      <c r="D11" t="s">
        <v>38</v>
      </c>
      <c r="F11">
        <v>100</v>
      </c>
      <c r="G11" t="s">
        <v>39</v>
      </c>
      <c r="J11" s="21"/>
    </row>
    <row r="12" spans="1:10">
      <c r="A12" t="s">
        <v>14</v>
      </c>
      <c r="B12" t="s">
        <v>37</v>
      </c>
      <c r="C12" s="26">
        <v>38296</v>
      </c>
      <c r="D12" t="s">
        <v>40</v>
      </c>
    </row>
    <row r="13" spans="1:10">
      <c r="A13" t="s">
        <v>15</v>
      </c>
      <c r="B13" t="s">
        <v>42</v>
      </c>
      <c r="C13" s="26">
        <v>28554</v>
      </c>
      <c r="D13" t="s">
        <v>38</v>
      </c>
      <c r="J13" s="22"/>
    </row>
    <row r="14" spans="1:10">
      <c r="A14" t="s">
        <v>16</v>
      </c>
      <c r="B14" t="s">
        <v>37</v>
      </c>
      <c r="C14" s="26">
        <v>27368</v>
      </c>
      <c r="D14" t="s">
        <v>43</v>
      </c>
      <c r="J14" s="19"/>
    </row>
    <row r="15" spans="1:10">
      <c r="A15" t="s">
        <v>17</v>
      </c>
      <c r="B15" t="s">
        <v>42</v>
      </c>
      <c r="C15" s="26">
        <v>20850</v>
      </c>
      <c r="D15" t="s">
        <v>40</v>
      </c>
    </row>
    <row r="16" spans="1:10">
      <c r="A16" t="s">
        <v>18</v>
      </c>
      <c r="B16" t="s">
        <v>37</v>
      </c>
      <c r="C16" s="26">
        <v>19345</v>
      </c>
      <c r="D16" t="s">
        <v>40</v>
      </c>
    </row>
    <row r="17" spans="1:8">
      <c r="A17" t="s">
        <v>19</v>
      </c>
      <c r="B17" t="s">
        <v>42</v>
      </c>
      <c r="C17" s="26">
        <v>38158</v>
      </c>
      <c r="D17" t="s">
        <v>38</v>
      </c>
    </row>
    <row r="18" spans="1:8">
      <c r="A18" s="6" t="s">
        <v>27</v>
      </c>
      <c r="B18" s="6"/>
      <c r="C18" s="27">
        <f>SUM(C4:C17)</f>
        <v>391056</v>
      </c>
      <c r="D18" s="6"/>
    </row>
    <row r="20" spans="1:8">
      <c r="A20" s="3" t="s">
        <v>34</v>
      </c>
      <c r="B20" s="3" t="s">
        <v>33</v>
      </c>
      <c r="C20" s="3" t="s">
        <v>48</v>
      </c>
      <c r="E20" s="3" t="s">
        <v>34</v>
      </c>
      <c r="F20" t="s">
        <v>38</v>
      </c>
      <c r="G20" t="s">
        <v>40</v>
      </c>
      <c r="H20" t="s">
        <v>43</v>
      </c>
    </row>
    <row r="21" spans="1:8">
      <c r="A21" t="s">
        <v>38</v>
      </c>
      <c r="B21" s="25">
        <f>SUMIF($D$4:$D$17,A21,$C$4:$C$17)</f>
        <v>179898</v>
      </c>
      <c r="C21">
        <f>COUNTIF($D$4:$D$17,A21)</f>
        <v>6</v>
      </c>
      <c r="E21" s="3" t="s">
        <v>33</v>
      </c>
      <c r="F21" s="25">
        <f>SUMIF($D$4:$D$17,F20,$C$4:$C$17)</f>
        <v>179898</v>
      </c>
      <c r="G21" s="25">
        <f>SUMIF($D$4:$D$17,G20,$C$4:$C$17)</f>
        <v>137557</v>
      </c>
      <c r="H21" s="25">
        <f>SUMIF($D$4:$D$17,H20,$C$4:$C$17)</f>
        <v>73601</v>
      </c>
    </row>
    <row r="22" spans="1:8">
      <c r="A22" t="s">
        <v>40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E22" s="3" t="s">
        <v>48</v>
      </c>
      <c r="F22">
        <f>COUNTIF($D$4:$D$17,F20)</f>
        <v>6</v>
      </c>
      <c r="G22">
        <f>COUNTIF($D$4:$D$17,G20)</f>
        <v>5</v>
      </c>
      <c r="H22">
        <f>COUNTIF($D$4:$D$17,H20)</f>
        <v>3</v>
      </c>
    </row>
    <row r="23" spans="1:8">
      <c r="A23" t="s">
        <v>43</v>
      </c>
      <c r="B23" s="25">
        <f t="shared" si="0"/>
        <v>73601</v>
      </c>
      <c r="C23">
        <f t="shared" si="1"/>
        <v>3</v>
      </c>
    </row>
    <row r="24" spans="1:8">
      <c r="A24" s="6" t="s">
        <v>49</v>
      </c>
      <c r="B24" s="28">
        <f>SUM(B21:B23)</f>
        <v>391056</v>
      </c>
      <c r="C24" s="7">
        <f>SUM(C21:C23)</f>
        <v>14</v>
      </c>
    </row>
    <row r="26" spans="1:8">
      <c r="A26" s="3" t="s">
        <v>32</v>
      </c>
      <c r="B26" s="3" t="s">
        <v>33</v>
      </c>
      <c r="C26" s="3" t="s">
        <v>48</v>
      </c>
    </row>
    <row r="27" spans="1:8">
      <c r="A27" t="s">
        <v>37</v>
      </c>
      <c r="B27" s="25">
        <f>SUMIF($B$4:$B$17,A27,$C$4:$C$17)</f>
        <v>253587</v>
      </c>
      <c r="C27">
        <f>COUNTIF(B4:B17,A27)</f>
        <v>9</v>
      </c>
    </row>
    <row r="28" spans="1:8">
      <c r="A28" t="s">
        <v>42</v>
      </c>
      <c r="B28" s="25">
        <f>SUMIF($B$4:$B$17,A28,$C$4:$C$17)</f>
        <v>137469</v>
      </c>
      <c r="C28">
        <f>COUNTIF(B5:B17,A28)</f>
        <v>5</v>
      </c>
    </row>
    <row r="29" spans="1:8">
      <c r="A29" s="6" t="s">
        <v>49</v>
      </c>
      <c r="B29" s="28">
        <f>SUM(B27:B28)</f>
        <v>391056</v>
      </c>
      <c r="C29" s="7">
        <f>SUM(C27:C28)</f>
        <v>14</v>
      </c>
      <c r="E29" t="str" cm="1">
        <f t="array" ref="E29:E31">TRANSPOSE(A20:C20)</f>
        <v>Department</v>
      </c>
    </row>
    <row r="30" spans="1:8">
      <c r="E30" t="str">
        <v>Salary</v>
      </c>
    </row>
    <row r="31" spans="1:8">
      <c r="E31" t="str">
        <v>Headcount</v>
      </c>
    </row>
  </sheetData>
  <dataValidations count="5">
    <dataValidation type="whole" allowBlank="1" showInputMessage="1" showErrorMessage="1" error="Enter an integer" prompt="Enter between 1-100000" sqref="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I13:L45 F13:H19 F23:H45" xr:uid="{D030D69D-5A15-421E-BBED-103894BDC004}"/>
    <dataValidation type="list" allowBlank="1" showInputMessage="1" showErrorMessage="1" sqref="D4:D17" xr:uid="{0EF8B4A6-8D60-43E7-9662-5897A453AF8A}">
      <formula1>"sales, logistics, purchasing"</formula1>
    </dataValidation>
    <dataValidation type="date" allowBlank="1" showInputMessage="1" showErrorMessage="1" sqref="E4:E17" xr:uid="{B52A91A4-29F0-444A-8070-CC371D9B347B}">
      <formula1>36892</formula1>
      <formula2>37258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6EBA4-A48F-4B87-983F-C1DC2C25D2A8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2026-10-26T13:49:04Z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